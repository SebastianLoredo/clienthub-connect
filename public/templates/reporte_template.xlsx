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drawings/drawing2.xml" ContentType="application/vnd.openxmlformats-officedocument.drawing+xml"/>
  <Override PartName="/xl/tables/table2.xml" ContentType="application/vnd.openxmlformats-officedocument.spreadsheetml.table+xml"/>
  <Override PartName="/xl/tables/table3.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mc:AlternateContent xmlns:mc="http://schemas.openxmlformats.org/markup-compatibility/2006">
    <mc:Choice Requires="x15">
      <x15ac:absPath xmlns:x15ac="http://schemas.microsoft.com/office/spreadsheetml/2010/11/ac" url="https://d.docs.live.net/041d57eb966b3500/Consultoría Angie-ak/Totum Talent - Procesos/Proyecto Interno - Prestaciones y Beneficios/Documentos Ejemplo/"/>
    </mc:Choice>
  </mc:AlternateContent>
  <xr:revisionPtr revIDLastSave="64" documentId="8_{90A6FF4F-0B1F-4E2A-9EFB-6102E2E60465}" xr6:coauthVersionLast="47" xr6:coauthVersionMax="47" xr10:uidLastSave="{87FF2A50-AF6B-4710-8E17-0DCC375DF954}"/>
  <bookViews>
    <workbookView xWindow="-108" yWindow="-108" windowWidth="23256" windowHeight="12456" tabRatio="878" xr2:uid="{365CDAA6-48A6-4DE4-A11F-E92E427B642D}"/>
  </bookViews>
  <sheets>
    <sheet name="COMPETITIVIDAD" sheetId="14" r:id="rId1"/>
    <sheet name="COMPENSACIÓN TOTAL" sheetId="25" r:id="rId2"/>
  </sheets>
  <externalReferences>
    <externalReference r:id="rId3"/>
    <externalReference r:id="rId4"/>
  </externalReferences>
  <definedNames>
    <definedName name="Inflación">[1]Listado!$C$8</definedName>
    <definedName name="Inflación_CD">'[2]Puestos tipo'!$E$15</definedName>
    <definedName name="Inflación_Mercer">'[2]Puestos tipo'!$E$14</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I23" i="14" l="1"/>
  <c r="I24" i="14"/>
  <c r="I25" i="14"/>
  <c r="I26" i="14"/>
  <c r="I27" i="14"/>
  <c r="I28" i="14"/>
  <c r="I29" i="14"/>
  <c r="I30" i="14"/>
  <c r="I31" i="14"/>
  <c r="I32" i="14"/>
  <c r="I33" i="14"/>
  <c r="I34" i="14"/>
  <c r="I35" i="14"/>
  <c r="I36" i="14"/>
  <c r="I37" i="14"/>
  <c r="I38" i="14"/>
  <c r="I39" i="14"/>
  <c r="I40" i="14"/>
  <c r="I41" i="14"/>
  <c r="I42" i="14"/>
</calcChain>
</file>

<file path=xl/sharedStrings.xml><?xml version="1.0" encoding="utf-8"?>
<sst xmlns="http://schemas.openxmlformats.org/spreadsheetml/2006/main" count="204" uniqueCount="98">
  <si>
    <t>ANALISIS DE COMPETITIVIDAD</t>
  </si>
  <si>
    <t>A continuación, se muestran los resultados obtenidos del análisis de competitividad acorde a los puestos tipo seleccionados y perfiles de puesto.</t>
  </si>
  <si>
    <t>CONCEPTOS GENERALES</t>
  </si>
  <si>
    <t>Se agrupan las definiciones con respecto a cómo se encuentra desglosada la información salarial:</t>
  </si>
  <si>
    <r>
      <t xml:space="preserve">• Percentil </t>
    </r>
    <r>
      <rPr>
        <sz val="11"/>
        <color rgb="FF000000"/>
        <rFont val="Lato"/>
        <family val="2"/>
      </rPr>
      <t>- Valor que divide un conjunto ordenado de datos estadísticos de forma que un porcentaje de tales datos sea inferior a dicho valor.</t>
    </r>
  </si>
  <si>
    <r>
      <t>• Percentil 25°</t>
    </r>
    <r>
      <rPr>
        <sz val="11"/>
        <color rgb="FF000000"/>
        <rFont val="Lato"/>
        <family val="2"/>
      </rPr>
      <t xml:space="preserve"> – Es el punto de información que es más alto que el 25% del resto de la información en la muestra. Es conocido también como el primer cuartil.</t>
    </r>
  </si>
  <si>
    <r>
      <t>• Percentil 50° / Mediana</t>
    </r>
    <r>
      <rPr>
        <sz val="11"/>
        <color rgb="FF000000"/>
        <rFont val="Lato"/>
        <family val="2"/>
      </rPr>
      <t xml:space="preserve"> – Es el punto de información que es más alto que el 50% del resto de la información en la muestra. Es conocido también como el segundo cuartil o mediana.</t>
    </r>
  </si>
  <si>
    <r>
      <t>• Percentil 75°</t>
    </r>
    <r>
      <rPr>
        <sz val="11"/>
        <color rgb="FF000000"/>
        <rFont val="Lato"/>
        <family val="2"/>
      </rPr>
      <t xml:space="preserve"> – Es el punto de información que es más alto que el 50% del resto de la información en la muestra. Es conocido también como el tercer cuartil.</t>
    </r>
  </si>
  <si>
    <t>RESULTADOS GENERALES</t>
  </si>
  <si>
    <t>Simbología</t>
  </si>
  <si>
    <t>RESULTADOS SALARIALES EN MERCADO</t>
  </si>
  <si>
    <t>#</t>
  </si>
  <si>
    <t xml:space="preserve">ÁREA </t>
  </si>
  <si>
    <t xml:space="preserve">PUESTOS </t>
  </si>
  <si>
    <t>25P</t>
  </si>
  <si>
    <t>50P</t>
  </si>
  <si>
    <t>PROMEDIO</t>
  </si>
  <si>
    <t>75P</t>
  </si>
  <si>
    <t>VARIANZA EN MERCADO</t>
  </si>
  <si>
    <t>Dirección</t>
  </si>
  <si>
    <t>Director General</t>
  </si>
  <si>
    <t>Administración y Finanzas</t>
  </si>
  <si>
    <t>Director Finanzas</t>
  </si>
  <si>
    <t>Recursos Humanos</t>
  </si>
  <si>
    <t>Gerente Recursos Humanos</t>
  </si>
  <si>
    <t>Comercial</t>
  </si>
  <si>
    <t>Gerente Comercial</t>
  </si>
  <si>
    <t>Tecnología</t>
  </si>
  <si>
    <t>Gerente TI</t>
  </si>
  <si>
    <t>Operaciones</t>
  </si>
  <si>
    <t>Jefe de Operaciones</t>
  </si>
  <si>
    <t>Coordinador Administración y Finanzas</t>
  </si>
  <si>
    <t>Coordinador de Ventas</t>
  </si>
  <si>
    <t>Jefe Fiscal</t>
  </si>
  <si>
    <t>Analista Contable</t>
  </si>
  <si>
    <t>Soporte Técnico</t>
  </si>
  <si>
    <t>Ejecutivo Comercial</t>
  </si>
  <si>
    <t>Analista Reclutamiento y Selección</t>
  </si>
  <si>
    <t>Chofer</t>
  </si>
  <si>
    <t>Ayudante General</t>
  </si>
  <si>
    <t>Analista de Comunicación</t>
  </si>
  <si>
    <t>Asistente de Dirección</t>
  </si>
  <si>
    <t>Ejecutivo de Cuentas Clave</t>
  </si>
  <si>
    <t>Analista de Ciberseguridad</t>
  </si>
  <si>
    <t>Analista de Crédito y Cobranza</t>
  </si>
  <si>
    <t>COMPENSACIÓN TOTAL</t>
  </si>
  <si>
    <r>
      <t xml:space="preserve">• </t>
    </r>
    <r>
      <rPr>
        <b/>
        <sz val="11"/>
        <color theme="1"/>
        <rFont val="Aptos Narrow"/>
        <family val="2"/>
        <scheme val="minor"/>
      </rPr>
      <t>Sueldo anual</t>
    </r>
    <r>
      <rPr>
        <sz val="11"/>
        <color theme="1"/>
        <rFont val="Aptos Narrow"/>
        <family val="2"/>
        <scheme val="minor"/>
      </rPr>
      <t>: cantidad del sueldo fijo anualizado por puesto</t>
    </r>
  </si>
  <si>
    <r>
      <t xml:space="preserve">• </t>
    </r>
    <r>
      <rPr>
        <b/>
        <sz val="11"/>
        <color theme="1"/>
        <rFont val="Aptos Narrow"/>
        <family val="2"/>
        <scheme val="minor"/>
      </rPr>
      <t>Compensación garantizada</t>
    </r>
    <r>
      <rPr>
        <sz val="11"/>
        <color theme="1"/>
        <rFont val="Aptos Narrow"/>
        <family val="2"/>
        <scheme val="minor"/>
      </rPr>
      <t>: son aquellas prestaciones cuya retribución es otorgada al colaborador de manera monetaria (aguinaldo, prima vacacional, fondo de ahorro, vales de despensa).</t>
    </r>
  </si>
  <si>
    <r>
      <t xml:space="preserve">• </t>
    </r>
    <r>
      <rPr>
        <b/>
        <sz val="11"/>
        <color theme="1"/>
        <rFont val="Aptos Narrow"/>
        <family val="2"/>
        <scheme val="minor"/>
      </rPr>
      <t>Compensación variable</t>
    </r>
    <r>
      <rPr>
        <sz val="11"/>
        <color theme="1"/>
        <rFont val="Aptos Narrow"/>
        <family val="2"/>
        <scheme val="minor"/>
      </rPr>
      <t>: son aquellas como bonos, comisiones o incentivos que usualmente están sujetas al alcance o cumplimiento de metas u objetivos para su otorgación.</t>
    </r>
  </si>
  <si>
    <r>
      <t xml:space="preserve">• </t>
    </r>
    <r>
      <rPr>
        <b/>
        <sz val="11"/>
        <color theme="1"/>
        <rFont val="Aptos Narrow"/>
        <family val="2"/>
        <scheme val="minor"/>
      </rPr>
      <t>Total de retribución</t>
    </r>
    <r>
      <rPr>
        <sz val="11"/>
        <color theme="1"/>
        <rFont val="Aptos Narrow"/>
        <family val="2"/>
        <scheme val="minor"/>
      </rPr>
      <t>: es la suma de los montos de sueldo anual, compensaciones garantizadas y compensaciones variables.</t>
    </r>
  </si>
  <si>
    <r>
      <t xml:space="preserve">• Porcentaje de diferencia: </t>
    </r>
    <r>
      <rPr>
        <sz val="11"/>
        <color theme="1"/>
        <rFont val="Aptos Narrow"/>
        <family val="2"/>
        <scheme val="minor"/>
      </rPr>
      <t>diferencia entre lo otorgado en la organización contra el Mercado.</t>
    </r>
  </si>
  <si>
    <t>TOTAL REWARDS</t>
  </si>
  <si>
    <t>La estructura del Esquema de Compensación Total (Total Rewards) es el conjunto de toda la compensación que recibe el colaborador en donde se incluye: el sueldo base, compensaciones garantizadas (aguinaldo, la prima vacacional, el fondo de ahorro, y los vales de despensa), compensaciones variables (bonos, comisiones) y beneficios adicionales.  Este tipo de análisis ayuda a las empresas a evaluar su propuesta de valor contra el mercado sin centrarse únicamente a un solo tipo de compensación, sino a considerar de manera integral y balanceada todas las compensaciones con la finalidad de encontrar los factores diferenciadores de su estrategia actual y ver si realmente se encuentra competitiva considerando el sueldo y prestaciones.</t>
  </si>
  <si>
    <t>El esquema de Compensación Total se encuentra ligado a la cultura y filosofía de compensaciones de la organización, por lo que no tiene que ser necesariamente la misma para todas las organizaciones, pero si debe permitirse el ofrecer una retribución que sea atractiva con la finalidad de motivar, atraer y retener a los colaboradores.</t>
  </si>
  <si>
    <t>CONSIDERACIONES GENERALES</t>
  </si>
  <si>
    <t>• Las cantidades presentadas a continuación son anuales.</t>
  </si>
  <si>
    <t>• Para su comparativa contra mercado, se tomaron 12 días de vacaciones para todos los puestos para el cálculo de la prima vacacional.</t>
  </si>
  <si>
    <t>• En la compensación variable, las posiciones con poca elegibilidad u otorgamiento de una compensación variable (bonos o comisiones) se muestran en blanco y no se recomienda considerarse para una comparativa contra mercado.</t>
  </si>
  <si>
    <t>Implementando la estrategia de compensaciones en mercado, el paquete se conforma por cuatro elementos principales. Esto es crucial para atraer, retener y motivar a los empleados, mejorando su bienestar y el desempeño general de la empresa.</t>
  </si>
  <si>
    <t>Sueldo Base</t>
  </si>
  <si>
    <t>Cantidad del sueldo total antes de impuestos.</t>
  </si>
  <si>
    <t>Prestaciones Garantizadas</t>
  </si>
  <si>
    <t>Son aquellas prestaciones o compensaciones cuya otorgación es general, de manera fija y periódica. Ejemplo: Aguinaldo, Prima Vacacional, Fondo de Ahorro, Vales de Despensa, Bonos garantizados, entre otros.</t>
  </si>
  <si>
    <t>Prestaciones Variables</t>
  </si>
  <si>
    <r>
      <t xml:space="preserve">Son aquellas prestaciones o gratificaciones cuyo monto alcanzable suele ser variable. Usualmente, están condicionados al cumplimiento de objetivos o metas en un periodo determinado. </t>
    </r>
    <r>
      <rPr>
        <i/>
        <sz val="11"/>
        <color rgb="FF1D1C1D"/>
        <rFont val="Aptos Narrow"/>
        <family val="2"/>
        <scheme val="minor"/>
      </rPr>
      <t>Ejemplo: Bono de productividad, Comisiones / Incentivos de venta, PTU, entre otros.</t>
    </r>
  </si>
  <si>
    <t>ESQUEMA ACTUAL VS TENDENCIA GENERAL DE MERCADO (50p)</t>
  </si>
  <si>
    <r>
      <rPr>
        <b/>
        <i/>
        <sz val="11"/>
        <color theme="1"/>
        <rFont val="Aptos Narrow"/>
        <family val="2"/>
        <scheme val="minor"/>
      </rPr>
      <t>Superior al 75P</t>
    </r>
    <r>
      <rPr>
        <i/>
        <sz val="11"/>
        <color theme="1"/>
        <rFont val="Aptos Narrow"/>
        <family val="2"/>
        <scheme val="minor"/>
      </rPr>
      <t xml:space="preserve"> - Por arriba del mercado</t>
    </r>
  </si>
  <si>
    <r>
      <rPr>
        <b/>
        <i/>
        <sz val="11"/>
        <color theme="1"/>
        <rFont val="Aptos Narrow"/>
        <family val="2"/>
        <scheme val="minor"/>
      </rPr>
      <t xml:space="preserve">Entre el 25P y 50P </t>
    </r>
    <r>
      <rPr>
        <i/>
        <sz val="11"/>
        <color theme="1"/>
        <rFont val="Aptos Narrow"/>
        <family val="2"/>
        <scheme val="minor"/>
      </rPr>
      <t>- Dentro del mercado</t>
    </r>
  </si>
  <si>
    <r>
      <rPr>
        <b/>
        <i/>
        <sz val="11"/>
        <color theme="1"/>
        <rFont val="Aptos Narrow"/>
        <family val="2"/>
        <scheme val="minor"/>
      </rPr>
      <t>Por debajo del 25P</t>
    </r>
    <r>
      <rPr>
        <i/>
        <sz val="11"/>
        <color theme="1"/>
        <rFont val="Aptos Narrow"/>
        <family val="2"/>
        <scheme val="minor"/>
      </rPr>
      <t xml:space="preserve"> - Por debajo del mercado / no competitivo</t>
    </r>
  </si>
  <si>
    <t>RESUMEN GENERAL</t>
  </si>
  <si>
    <t>Coord. Administración y Finanzas</t>
  </si>
  <si>
    <t>Nombre de Puestos</t>
  </si>
  <si>
    <t>Área</t>
  </si>
  <si>
    <t>COMPENSACIÓN - PERCENTIL 25</t>
  </si>
  <si>
    <t>Sueldo anual - 25P</t>
  </si>
  <si>
    <t>Total Garantizado Mercado - 25P</t>
  </si>
  <si>
    <t>Total Variable Mercado - 25P</t>
  </si>
  <si>
    <t>Total Retribución Mercado - 25P</t>
  </si>
  <si>
    <t>Sueldo anual - 50P</t>
  </si>
  <si>
    <t>Total Garantizado Mercado - 50P</t>
  </si>
  <si>
    <t>Total Variable Mercado - 50P</t>
  </si>
  <si>
    <t>Total Retribución Mercado - 50P</t>
  </si>
  <si>
    <t>COMPENSACIÓN - PERCENTIL 50</t>
  </si>
  <si>
    <t>Sueldo anual - 75P</t>
  </si>
  <si>
    <t>Total Garantizado Mercado - 75P</t>
  </si>
  <si>
    <t>Total Variable Mercado - 75P</t>
  </si>
  <si>
    <t>Total Retribución Mercado - 75P</t>
  </si>
  <si>
    <t>COMPENSACIÓN - PERCENTIL 75</t>
  </si>
  <si>
    <t>Costo mensual actual</t>
  </si>
  <si>
    <t>Costo mensual - 25P</t>
  </si>
  <si>
    <t>Costo mensual - 50P</t>
  </si>
  <si>
    <t>Costo mensual - 75P</t>
  </si>
  <si>
    <t>COMPARATIVA</t>
  </si>
  <si>
    <t>DETALLE DE LA COMPENSACIÓN</t>
  </si>
  <si>
    <r>
      <t>Por debajo del mercado (&gt; 75P)  -</t>
    </r>
    <r>
      <rPr>
        <sz val="11"/>
        <color rgb="FF000000"/>
        <rFont val="Aptos Narrow"/>
        <family val="2"/>
        <scheme val="minor"/>
      </rPr>
      <t xml:space="preserve"> La organización no sigue la tendencia de mercado.</t>
    </r>
  </si>
  <si>
    <r>
      <t>Competitivo (25P - 50P / 50P - 75P)  –</t>
    </r>
    <r>
      <rPr>
        <sz val="11"/>
        <color rgb="FF000000"/>
        <rFont val="Aptos Narrow"/>
        <family val="2"/>
        <scheme val="minor"/>
      </rPr>
      <t xml:space="preserve"> La organización se ajusta a la tendencia del mercado.</t>
    </r>
  </si>
  <si>
    <r>
      <t>Por arriba del mercado (&lt; 25P) –</t>
    </r>
    <r>
      <rPr>
        <sz val="11"/>
        <color rgb="FF000000"/>
        <rFont val="Aptos Narrow"/>
        <family val="2"/>
        <scheme val="minor"/>
      </rPr>
      <t xml:space="preserve"> La organización sigue una tendencia superior al mercado.</t>
    </r>
  </si>
  <si>
    <t>INFORMACIÓN DEL PUESTO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</si>
</sst>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44" formatCode="_-&quot;$&quot;* #,##0.00_-;\-&quot;$&quot;* #,##0.00_-;_-&quot;$&quot;* &quot;-&quot;??_-;_-@_-"/>
    <numFmt numFmtId="164" formatCode="_-&quot;$&quot;* #,##0_-;\-&quot;$&quot;* #,##0_-;_-&quot;$&quot;* &quot;-&quot;??_-;_-@_-"/>
    <numFmt numFmtId="165" formatCode="0.0%"/>
  </numFmts>
  <fonts count="28" x14ac:knownFonts="1">
    <font>
      <sz val="11"/>
      <color theme="1"/>
      <name val="Aptos Narrow"/>
      <family val="2"/>
      <scheme val="minor"/>
    </font>
    <font>
      <b/>
      <sz val="11"/>
      <color theme="1"/>
      <name val="Aptos Narrow"/>
      <family val="2"/>
      <scheme val="minor"/>
    </font>
    <font>
      <sz val="11"/>
      <color theme="1"/>
      <name val="Aptos Narrow"/>
      <family val="2"/>
      <scheme val="minor"/>
    </font>
    <font>
      <i/>
      <sz val="11"/>
      <color theme="1"/>
      <name val="Aptos Narrow"/>
      <family val="2"/>
      <scheme val="minor"/>
    </font>
    <font>
      <b/>
      <u/>
      <sz val="36"/>
      <color theme="1"/>
      <name val="Aptos Narrow"/>
      <family val="2"/>
      <scheme val="minor"/>
    </font>
    <font>
      <b/>
      <sz val="11"/>
      <color theme="0"/>
      <name val="Aptos Narrow"/>
      <family val="2"/>
      <scheme val="minor"/>
    </font>
    <font>
      <sz val="11"/>
      <color rgb="FF000000"/>
      <name val="Aptos Narrow"/>
      <family val="2"/>
      <scheme val="minor"/>
    </font>
    <font>
      <b/>
      <sz val="18"/>
      <color rgb="FF0070C0"/>
      <name val="Lato"/>
      <family val="2"/>
    </font>
    <font>
      <sz val="11"/>
      <color rgb="FF000000"/>
      <name val="Lato"/>
      <family val="2"/>
    </font>
    <font>
      <b/>
      <sz val="11"/>
      <color rgb="FF000000"/>
      <name val="Lato"/>
      <family val="2"/>
    </font>
    <font>
      <i/>
      <sz val="11"/>
      <color rgb="FF000000"/>
      <name val="Lato"/>
      <family val="2"/>
    </font>
    <font>
      <b/>
      <i/>
      <sz val="11"/>
      <color rgb="FF1D1C1D"/>
      <name val="Aptos Narrow"/>
      <family val="2"/>
      <scheme val="minor"/>
    </font>
    <font>
      <b/>
      <sz val="11"/>
      <color rgb="FF1D1C1D"/>
      <name val="Aptos Narrow"/>
      <family val="2"/>
      <scheme val="minor"/>
    </font>
    <font>
      <sz val="11"/>
      <color rgb="FF1D1C1D"/>
      <name val="Aptos Narrow"/>
      <family val="2"/>
      <scheme val="minor"/>
    </font>
    <font>
      <b/>
      <i/>
      <sz val="11"/>
      <color theme="1"/>
      <name val="Aptos Narrow"/>
      <family val="2"/>
      <scheme val="minor"/>
    </font>
    <font>
      <sz val="10"/>
      <color theme="0"/>
      <name val="Aptos Narrow"/>
      <family val="2"/>
      <scheme val="minor"/>
    </font>
    <font>
      <b/>
      <sz val="10"/>
      <color theme="0"/>
      <name val="Aptos Narrow"/>
      <family val="2"/>
      <scheme val="minor"/>
    </font>
    <font>
      <i/>
      <sz val="11"/>
      <color rgb="FF000000"/>
      <name val="Aptos Narrow"/>
      <family val="2"/>
      <scheme val="minor"/>
    </font>
    <font>
      <b/>
      <sz val="14"/>
      <color rgb="FF0070C0"/>
      <name val="Aptos Narrow"/>
      <family val="2"/>
      <scheme val="minor"/>
    </font>
    <font>
      <b/>
      <sz val="18"/>
      <color rgb="FF0070C0"/>
      <name val="Aptos Narrow"/>
      <family val="2"/>
      <scheme val="minor"/>
    </font>
    <font>
      <b/>
      <sz val="18"/>
      <color theme="1"/>
      <name val="Lato"/>
      <family val="2"/>
    </font>
    <font>
      <i/>
      <sz val="11"/>
      <color rgb="FF1D1C1D"/>
      <name val="Aptos Narrow"/>
      <family val="2"/>
      <scheme val="minor"/>
    </font>
    <font>
      <b/>
      <u/>
      <sz val="11"/>
      <color rgb="FF000000"/>
      <name val="Lato"/>
      <family val="2"/>
    </font>
    <font>
      <sz val="9"/>
      <color theme="0"/>
      <name val="Aptos Narrow"/>
      <family val="2"/>
      <scheme val="minor"/>
    </font>
    <font>
      <b/>
      <sz val="9"/>
      <color theme="0"/>
      <name val="Aptos Narrow"/>
      <family val="2"/>
      <scheme val="minor"/>
    </font>
    <font>
      <sz val="8"/>
      <name val="Aptos Narrow"/>
      <family val="2"/>
      <scheme val="minor"/>
    </font>
    <font>
      <sz val="10"/>
      <color theme="1"/>
      <name val="Aptos Narrow"/>
      <family val="2"/>
      <scheme val="minor"/>
    </font>
    <font>
      <b/>
      <sz val="11"/>
      <color rgb="FF000000"/>
      <name val="Aptos Narrow"/>
      <family val="2"/>
      <scheme val="minor"/>
    </font>
  </fonts>
  <fills count="19">
    <fill>
      <patternFill patternType="none"/>
    </fill>
    <fill>
      <patternFill patternType="gray125"/>
    </fill>
    <fill>
      <patternFill patternType="solid">
        <fgColor theme="7" tint="0.39997558519241921"/>
        <bgColor indexed="64"/>
      </patternFill>
    </fill>
    <fill>
      <patternFill patternType="solid">
        <fgColor rgb="FF0070C0"/>
        <bgColor indexed="64"/>
      </patternFill>
    </fill>
    <fill>
      <patternFill patternType="solid">
        <fgColor theme="5" tint="-0.249977111117893"/>
        <bgColor indexed="64"/>
      </patternFill>
    </fill>
    <fill>
      <patternFill patternType="solid">
        <fgColor rgb="FFFF0000"/>
        <bgColor indexed="64"/>
      </patternFill>
    </fill>
    <fill>
      <patternFill patternType="solid">
        <fgColor rgb="FF00B050"/>
        <bgColor indexed="64"/>
      </patternFill>
    </fill>
    <fill>
      <patternFill patternType="solid">
        <fgColor rgb="FF002060"/>
        <bgColor indexed="64"/>
      </patternFill>
    </fill>
    <fill>
      <patternFill patternType="solid">
        <fgColor rgb="FFFFFFFF"/>
        <bgColor rgb="FF000000"/>
      </patternFill>
    </fill>
    <fill>
      <patternFill patternType="solid">
        <fgColor rgb="FFFFD966"/>
        <bgColor rgb="FF000000"/>
      </patternFill>
    </fill>
    <fill>
      <patternFill patternType="solid">
        <fgColor rgb="FF00B050"/>
        <bgColor rgb="FF000000"/>
      </patternFill>
    </fill>
    <fill>
      <patternFill patternType="solid">
        <fgColor rgb="FFFF0000"/>
        <bgColor rgb="FF000000"/>
      </patternFill>
    </fill>
    <fill>
      <patternFill patternType="solid">
        <fgColor theme="1"/>
        <bgColor indexed="64"/>
      </patternFill>
    </fill>
    <fill>
      <patternFill patternType="solid">
        <fgColor theme="0"/>
        <bgColor indexed="64"/>
      </patternFill>
    </fill>
    <fill>
      <patternFill patternType="solid">
        <fgColor theme="7" tint="0.39997558519241921"/>
        <bgColor rgb="FF000000"/>
      </patternFill>
    </fill>
    <fill>
      <patternFill patternType="solid">
        <fgColor theme="2" tint="-0.749992370372631"/>
        <bgColor indexed="64"/>
      </patternFill>
    </fill>
    <fill>
      <patternFill patternType="solid">
        <fgColor theme="5" tint="-0.499984740745262"/>
        <bgColor indexed="64"/>
      </patternFill>
    </fill>
    <fill>
      <patternFill patternType="solid">
        <fgColor rgb="FF003300"/>
        <bgColor indexed="64"/>
      </patternFill>
    </fill>
    <fill>
      <patternFill patternType="solid">
        <fgColor rgb="FFCFD5EA"/>
        <bgColor indexed="64"/>
      </patternFill>
    </fill>
  </fills>
  <borders count="6">
    <border>
      <left/>
      <right/>
      <top/>
      <bottom/>
      <diagonal/>
    </border>
    <border>
      <left style="thin">
        <color theme="0"/>
      </left>
      <right style="thin">
        <color theme="0"/>
      </right>
      <top style="thin">
        <color theme="0"/>
      </top>
      <bottom style="thin">
        <color theme="0"/>
      </bottom>
      <diagonal/>
    </border>
    <border>
      <left style="thin">
        <color theme="0"/>
      </left>
      <right/>
      <top/>
      <bottom style="thin">
        <color theme="0"/>
      </bottom>
      <diagonal/>
    </border>
    <border>
      <left/>
      <right/>
      <top/>
      <bottom style="thin">
        <color theme="0"/>
      </bottom>
      <diagonal/>
    </border>
    <border>
      <left style="thin">
        <color theme="0"/>
      </left>
      <right style="thin">
        <color theme="0"/>
      </right>
      <top/>
      <bottom style="thin">
        <color theme="0"/>
      </bottom>
      <diagonal/>
    </border>
    <border>
      <left style="medium">
        <color rgb="FFFFFFFF"/>
      </left>
      <right/>
      <top/>
      <bottom/>
      <diagonal/>
    </border>
  </borders>
  <cellStyleXfs count="3">
    <xf numFmtId="0" fontId="0" fillId="0" borderId="0"/>
    <xf numFmtId="44" fontId="2" fillId="0" borderId="0" applyFont="0" applyFill="0" applyBorder="0" applyAlignment="0" applyProtection="0"/>
    <xf numFmtId="9" fontId="2" fillId="0" borderId="0" applyFont="0" applyFill="0" applyBorder="0" applyAlignment="0" applyProtection="0"/>
  </cellStyleXfs>
  <cellXfs count="68">
    <xf numFmtId="0" fontId="0" fillId="0" borderId="0" xfId="0"/>
    <xf numFmtId="0" fontId="3" fillId="0" borderId="0" xfId="0" applyFont="1"/>
    <xf numFmtId="164" fontId="0" fillId="0" borderId="0" xfId="1" applyNumberFormat="1" applyFont="1" applyAlignment="1">
      <alignment horizontal="center"/>
    </xf>
    <xf numFmtId="164" fontId="0" fillId="0" borderId="0" xfId="0" applyNumberFormat="1"/>
    <xf numFmtId="0" fontId="7" fillId="8" borderId="0" xfId="0" applyFont="1" applyFill="1"/>
    <xf numFmtId="0" fontId="8" fillId="0" borderId="0" xfId="0" applyFont="1"/>
    <xf numFmtId="0" fontId="9" fillId="0" borderId="0" xfId="0" applyFont="1" applyAlignment="1">
      <alignment horizontal="left" vertical="center" indent="1"/>
    </xf>
    <xf numFmtId="0" fontId="10" fillId="0" borderId="0" xfId="0" applyFont="1"/>
    <xf numFmtId="0" fontId="10" fillId="9" borderId="0" xfId="0" applyFont="1" applyFill="1"/>
    <xf numFmtId="0" fontId="10" fillId="10" borderId="0" xfId="0" applyFont="1" applyFill="1"/>
    <xf numFmtId="0" fontId="10" fillId="11" borderId="0" xfId="0" applyFont="1" applyFill="1"/>
    <xf numFmtId="0" fontId="6" fillId="0" borderId="0" xfId="0" applyFont="1" applyAlignment="1">
      <alignment vertical="center" wrapText="1"/>
    </xf>
    <xf numFmtId="0" fontId="11" fillId="0" borderId="0" xfId="0" applyFont="1"/>
    <xf numFmtId="0" fontId="12" fillId="0" borderId="0" xfId="0" applyFont="1"/>
    <xf numFmtId="0" fontId="13" fillId="0" borderId="0" xfId="0" applyFont="1"/>
    <xf numFmtId="0" fontId="3" fillId="6" borderId="0" xfId="0" applyFont="1" applyFill="1"/>
    <xf numFmtId="0" fontId="3" fillId="5" borderId="0" xfId="0" applyFont="1" applyFill="1"/>
    <xf numFmtId="164" fontId="0" fillId="0" borderId="0" xfId="1" applyNumberFormat="1" applyFont="1" applyFill="1" applyAlignment="1">
      <alignment horizontal="center"/>
    </xf>
    <xf numFmtId="0" fontId="17" fillId="0" borderId="0" xfId="0" applyFont="1"/>
    <xf numFmtId="0" fontId="18" fillId="13" borderId="0" xfId="0" applyFont="1" applyFill="1"/>
    <xf numFmtId="0" fontId="3" fillId="13" borderId="0" xfId="0" applyFont="1" applyFill="1"/>
    <xf numFmtId="0" fontId="14" fillId="13" borderId="0" xfId="0" applyFont="1" applyFill="1"/>
    <xf numFmtId="0" fontId="3" fillId="13" borderId="0" xfId="0" applyFont="1" applyFill="1" applyAlignment="1">
      <alignment horizontal="left" wrapText="1"/>
    </xf>
    <xf numFmtId="0" fontId="0" fillId="13" borderId="0" xfId="0" applyFill="1" applyAlignment="1">
      <alignment vertical="top"/>
    </xf>
    <xf numFmtId="0" fontId="0" fillId="13" borderId="0" xfId="0" applyFill="1" applyAlignment="1">
      <alignment vertical="top" wrapText="1"/>
    </xf>
    <xf numFmtId="0" fontId="19" fillId="13" borderId="0" xfId="0" applyFont="1" applyFill="1"/>
    <xf numFmtId="0" fontId="0" fillId="13" borderId="0" xfId="0" applyFill="1"/>
    <xf numFmtId="0" fontId="1" fillId="13" borderId="0" xfId="0" applyFont="1" applyFill="1"/>
    <xf numFmtId="0" fontId="0" fillId="2" borderId="0" xfId="0" applyFill="1"/>
    <xf numFmtId="0" fontId="20" fillId="14" borderId="0" xfId="0" applyFont="1" applyFill="1"/>
    <xf numFmtId="0" fontId="22" fillId="0" borderId="0" xfId="0" applyFont="1"/>
    <xf numFmtId="165" fontId="0" fillId="0" borderId="0" xfId="2" applyNumberFormat="1" applyFont="1"/>
    <xf numFmtId="10" fontId="0" fillId="0" borderId="0" xfId="2" applyNumberFormat="1" applyFont="1"/>
    <xf numFmtId="9" fontId="0" fillId="0" borderId="0" xfId="2" applyFont="1"/>
    <xf numFmtId="0" fontId="4" fillId="0" borderId="0" xfId="0" applyFont="1" applyAlignment="1">
      <alignment horizontal="left"/>
    </xf>
    <xf numFmtId="0" fontId="0" fillId="0" borderId="0" xfId="0" applyAlignment="1">
      <alignment horizontal="center"/>
    </xf>
    <xf numFmtId="0" fontId="0" fillId="0" borderId="0" xfId="0" applyAlignment="1">
      <alignment wrapText="1"/>
    </xf>
    <xf numFmtId="0" fontId="13" fillId="0" borderId="0" xfId="0" applyFont="1" applyAlignment="1">
      <alignment horizontal="left" vertical="top" wrapText="1"/>
    </xf>
    <xf numFmtId="0" fontId="15" fillId="7" borderId="1" xfId="0" applyFont="1" applyFill="1" applyBorder="1" applyAlignment="1">
      <alignment horizontal="center" vertical="center"/>
    </xf>
    <xf numFmtId="0" fontId="15" fillId="4" borderId="1" xfId="0" applyFont="1" applyFill="1" applyBorder="1" applyAlignment="1">
      <alignment horizontal="center" vertical="center" wrapText="1"/>
    </xf>
    <xf numFmtId="0" fontId="26" fillId="0" borderId="0" xfId="0" applyFont="1"/>
    <xf numFmtId="0" fontId="26" fillId="0" borderId="0" xfId="0" applyFont="1" applyAlignment="1">
      <alignment wrapText="1"/>
    </xf>
    <xf numFmtId="9" fontId="26" fillId="0" borderId="0" xfId="2" applyFont="1" applyAlignment="1">
      <alignment horizontal="center"/>
    </xf>
    <xf numFmtId="0" fontId="16" fillId="15" borderId="1" xfId="0" applyFont="1" applyFill="1" applyBorder="1" applyAlignment="1">
      <alignment horizontal="center" vertical="center"/>
    </xf>
    <xf numFmtId="0" fontId="15" fillId="15" borderId="1" xfId="0" applyFont="1" applyFill="1" applyBorder="1" applyAlignment="1">
      <alignment horizontal="center" vertical="center"/>
    </xf>
    <xf numFmtId="164" fontId="26" fillId="0" borderId="0" xfId="0" applyNumberFormat="1" applyFont="1"/>
    <xf numFmtId="0" fontId="3" fillId="3" borderId="0" xfId="0" applyFont="1" applyFill="1"/>
    <xf numFmtId="0" fontId="23" fillId="12" borderId="1" xfId="0" applyFont="1" applyFill="1" applyBorder="1" applyAlignment="1">
      <alignment horizontal="center" vertical="center"/>
    </xf>
    <xf numFmtId="0" fontId="23" fillId="7" borderId="4" xfId="0" applyFont="1" applyFill="1" applyBorder="1" applyAlignment="1">
      <alignment horizontal="center" vertical="center" wrapText="1"/>
    </xf>
    <xf numFmtId="0" fontId="23" fillId="16" borderId="4" xfId="0" applyFont="1" applyFill="1" applyBorder="1" applyAlignment="1">
      <alignment horizontal="center" vertical="center" wrapText="1"/>
    </xf>
    <xf numFmtId="0" fontId="23" fillId="17" borderId="4" xfId="0" applyFont="1" applyFill="1" applyBorder="1" applyAlignment="1">
      <alignment horizontal="center" vertical="center" wrapText="1"/>
    </xf>
    <xf numFmtId="0" fontId="23" fillId="12" borderId="4" xfId="0" applyFont="1" applyFill="1" applyBorder="1" applyAlignment="1">
      <alignment horizontal="center" vertical="center" wrapText="1"/>
    </xf>
    <xf numFmtId="0" fontId="14" fillId="0" borderId="0" xfId="0" applyFont="1"/>
    <xf numFmtId="0" fontId="24" fillId="12" borderId="1" xfId="0" applyFont="1" applyFill="1" applyBorder="1" applyAlignment="1">
      <alignment horizontal="center" vertical="center"/>
    </xf>
    <xf numFmtId="0" fontId="4" fillId="0" borderId="0" xfId="0" applyFont="1" applyAlignment="1">
      <alignment horizontal="left"/>
    </xf>
    <xf numFmtId="0" fontId="0" fillId="13" borderId="0" xfId="0" applyFill="1" applyAlignment="1">
      <alignment horizontal="left" vertical="center" wrapText="1"/>
    </xf>
    <xf numFmtId="0" fontId="0" fillId="13" borderId="0" xfId="0" applyFill="1" applyAlignment="1">
      <alignment horizontal="left" wrapText="1"/>
    </xf>
    <xf numFmtId="0" fontId="0" fillId="0" borderId="0" xfId="0" applyAlignment="1">
      <alignment horizontal="left" vertical="top" wrapText="1"/>
    </xf>
    <xf numFmtId="0" fontId="6" fillId="0" borderId="0" xfId="0" applyFont="1" applyAlignment="1">
      <alignment horizontal="left" vertical="center" wrapText="1"/>
    </xf>
    <xf numFmtId="0" fontId="13" fillId="0" borderId="0" xfId="0" applyFont="1" applyAlignment="1">
      <alignment horizontal="left" vertical="top" wrapText="1"/>
    </xf>
    <xf numFmtId="0" fontId="24" fillId="12" borderId="2" xfId="0" applyFont="1" applyFill="1" applyBorder="1" applyAlignment="1">
      <alignment horizontal="center" vertical="center" wrapText="1"/>
    </xf>
    <xf numFmtId="0" fontId="24" fillId="12" borderId="3" xfId="0" applyFont="1" applyFill="1" applyBorder="1" applyAlignment="1">
      <alignment horizontal="center" vertical="center" wrapText="1"/>
    </xf>
    <xf numFmtId="0" fontId="24" fillId="16" borderId="1" xfId="0" applyFont="1" applyFill="1" applyBorder="1" applyAlignment="1">
      <alignment horizontal="center" vertical="center"/>
    </xf>
    <xf numFmtId="0" fontId="24" fillId="7" borderId="1" xfId="0" applyFont="1" applyFill="1" applyBorder="1" applyAlignment="1">
      <alignment horizontal="center" vertical="center"/>
    </xf>
    <xf numFmtId="0" fontId="24" fillId="17" borderId="1" xfId="0" applyFont="1" applyFill="1" applyBorder="1" applyAlignment="1">
      <alignment horizontal="center" vertical="center"/>
    </xf>
    <xf numFmtId="0" fontId="27" fillId="18" borderId="5" xfId="0" applyFont="1" applyFill="1" applyBorder="1" applyAlignment="1">
      <alignment horizontal="left" vertical="center" readingOrder="1"/>
    </xf>
    <xf numFmtId="0" fontId="27" fillId="18" borderId="0" xfId="0" applyFont="1" applyFill="1" applyAlignment="1">
      <alignment horizontal="left" vertical="center" readingOrder="1"/>
    </xf>
    <xf numFmtId="0" fontId="5" fillId="12" borderId="1" xfId="0" applyFont="1" applyFill="1" applyBorder="1" applyAlignment="1">
      <alignment horizontal="center" vertical="center" wrapText="1"/>
    </xf>
  </cellXfs>
  <cellStyles count="3">
    <cellStyle name="Moneda" xfId="1" builtinId="4"/>
    <cellStyle name="Normal" xfId="0" builtinId="0"/>
    <cellStyle name="Porcentaje" xfId="2" builtinId="5"/>
  </cellStyles>
  <dxfs count="35">
    <dxf>
      <font>
        <b val="0"/>
        <i val="0"/>
        <strike val="0"/>
        <condense val="0"/>
        <extend val="0"/>
        <outline val="0"/>
        <shadow val="0"/>
        <u val="none"/>
        <vertAlign val="baseline"/>
        <sz val="11"/>
        <color theme="1"/>
        <name val="Aptos Narrow"/>
        <family val="2"/>
        <scheme val="minor"/>
      </font>
      <numFmt numFmtId="164" formatCode="_-&quot;$&quot;* #,##0_-;\-&quot;$&quot;* #,##0_-;_-&quot;$&quot;* &quot;-&quot;??_-;_-@_-"/>
      <alignment horizontal="center" vertical="bottom" textRotation="0" wrapText="0" indent="0" justifyLastLine="0" shrinkToFit="0" readingOrder="0"/>
    </dxf>
    <dxf>
      <font>
        <b val="0"/>
        <i val="0"/>
        <strike val="0"/>
        <condense val="0"/>
        <extend val="0"/>
        <outline val="0"/>
        <shadow val="0"/>
        <u val="none"/>
        <vertAlign val="baseline"/>
        <sz val="11"/>
        <color theme="1"/>
        <name val="Aptos Narrow"/>
        <family val="2"/>
        <scheme val="minor"/>
      </font>
      <numFmt numFmtId="164" formatCode="_-&quot;$&quot;* #,##0_-;\-&quot;$&quot;* #,##0_-;_-&quot;$&quot;* &quot;-&quot;??_-;_-@_-"/>
      <alignment horizontal="center" vertical="bottom" textRotation="0" wrapText="0" indent="0" justifyLastLine="0" shrinkToFit="0" readingOrder="0"/>
    </dxf>
    <dxf>
      <font>
        <b val="0"/>
        <i val="0"/>
        <strike val="0"/>
        <condense val="0"/>
        <extend val="0"/>
        <outline val="0"/>
        <shadow val="0"/>
        <u val="none"/>
        <vertAlign val="baseline"/>
        <sz val="11"/>
        <color theme="1"/>
        <name val="Aptos Narrow"/>
        <family val="2"/>
        <scheme val="minor"/>
      </font>
      <numFmt numFmtId="164" formatCode="_-&quot;$&quot;* #,##0_-;\-&quot;$&quot;* #,##0_-;_-&quot;$&quot;* &quot;-&quot;??_-;_-@_-"/>
      <alignment horizontal="center" vertical="bottom" textRotation="0" wrapText="0" indent="0" justifyLastLine="0" shrinkToFit="0" readingOrder="0"/>
    </dxf>
    <dxf>
      <font>
        <b val="0"/>
        <i val="0"/>
        <strike val="0"/>
        <condense val="0"/>
        <extend val="0"/>
        <outline val="0"/>
        <shadow val="0"/>
        <u val="none"/>
        <vertAlign val="baseline"/>
        <sz val="11"/>
        <color theme="1"/>
        <name val="Aptos Narrow"/>
        <family val="2"/>
        <scheme val="minor"/>
      </font>
      <numFmt numFmtId="164" formatCode="_-&quot;$&quot;* #,##0_-;\-&quot;$&quot;* #,##0_-;_-&quot;$&quot;* &quot;-&quot;??_-;_-@_-"/>
      <alignment horizontal="center" vertical="bottom" textRotation="0" wrapText="0" indent="0" justifyLastLine="0" shrinkToFit="0" readingOrder="0"/>
    </dxf>
    <dxf>
      <numFmt numFmtId="164" formatCode="_-&quot;$&quot;* #,##0_-;\-&quot;$&quot;* #,##0_-;_-&quot;$&quot;* &quot;-&quot;??_-;_-@_-"/>
      <fill>
        <patternFill patternType="none">
          <fgColor indexed="64"/>
          <bgColor indexed="65"/>
        </patternFill>
      </fill>
      <alignment horizontal="center" vertical="bottom" textRotation="0" wrapText="0" indent="0" justifyLastLine="0" shrinkToFit="0" readingOrder="0"/>
    </dxf>
    <dxf>
      <numFmt numFmtId="164" formatCode="_-&quot;$&quot;* #,##0_-;\-&quot;$&quot;* #,##0_-;_-&quot;$&quot;* &quot;-&quot;??_-;_-@_-"/>
      <fill>
        <patternFill patternType="none">
          <fgColor indexed="64"/>
          <bgColor indexed="65"/>
        </patternFill>
      </fill>
      <alignment horizontal="center" vertical="bottom" textRotation="0" wrapText="0" indent="0" justifyLastLine="0" shrinkToFit="0" readingOrder="0"/>
    </dxf>
    <dxf>
      <numFmt numFmtId="164" formatCode="_-&quot;$&quot;* #,##0_-;\-&quot;$&quot;* #,##0_-;_-&quot;$&quot;* &quot;-&quot;??_-;_-@_-"/>
      <fill>
        <patternFill patternType="none">
          <fgColor indexed="64"/>
          <bgColor indexed="65"/>
        </patternFill>
      </fill>
      <alignment horizontal="center" vertical="bottom" textRotation="0" wrapText="0" indent="0" justifyLastLine="0" shrinkToFit="0" readingOrder="0"/>
    </dxf>
    <dxf>
      <numFmt numFmtId="164" formatCode="_-&quot;$&quot;* #,##0_-;\-&quot;$&quot;* #,##0_-;_-&quot;$&quot;* &quot;-&quot;??_-;_-@_-"/>
      <fill>
        <patternFill patternType="none">
          <fgColor indexed="64"/>
          <bgColor indexed="65"/>
        </patternFill>
      </fill>
      <alignment horizontal="center" vertical="bottom" textRotation="0" wrapText="0" indent="0" justifyLastLine="0" shrinkToFit="0" readingOrder="0"/>
    </dxf>
    <dxf>
      <font>
        <b val="0"/>
        <i val="0"/>
        <strike val="0"/>
        <condense val="0"/>
        <extend val="0"/>
        <outline val="0"/>
        <shadow val="0"/>
        <u val="none"/>
        <vertAlign val="baseline"/>
        <sz val="11"/>
        <color theme="1"/>
        <name val="Aptos Narrow"/>
        <family val="2"/>
        <scheme val="minor"/>
      </font>
      <numFmt numFmtId="164" formatCode="_-&quot;$&quot;* #,##0_-;\-&quot;$&quot;* #,##0_-;_-&quot;$&quot;* &quot;-&quot;??_-;_-@_-"/>
      <alignment horizontal="center" vertical="bottom" textRotation="0" wrapText="0" indent="0" justifyLastLine="0" shrinkToFit="0" readingOrder="0"/>
    </dxf>
    <dxf>
      <font>
        <b val="0"/>
        <i val="0"/>
        <strike val="0"/>
        <condense val="0"/>
        <extend val="0"/>
        <outline val="0"/>
        <shadow val="0"/>
        <u val="none"/>
        <vertAlign val="baseline"/>
        <sz val="11"/>
        <color theme="1"/>
        <name val="Aptos Narrow"/>
        <family val="2"/>
        <scheme val="minor"/>
      </font>
      <numFmt numFmtId="164" formatCode="_-&quot;$&quot;* #,##0_-;\-&quot;$&quot;* #,##0_-;_-&quot;$&quot;* &quot;-&quot;??_-;_-@_-"/>
      <alignment horizontal="center" vertical="bottom" textRotation="0" wrapText="0" indent="0" justifyLastLine="0" shrinkToFit="0" readingOrder="0"/>
    </dxf>
    <dxf>
      <font>
        <b val="0"/>
        <i val="0"/>
        <strike val="0"/>
        <condense val="0"/>
        <extend val="0"/>
        <outline val="0"/>
        <shadow val="0"/>
        <u val="none"/>
        <vertAlign val="baseline"/>
        <sz val="11"/>
        <color theme="1"/>
        <name val="Aptos Narrow"/>
        <family val="2"/>
        <scheme val="minor"/>
      </font>
      <numFmt numFmtId="164" formatCode="_-&quot;$&quot;* #,##0_-;\-&quot;$&quot;* #,##0_-;_-&quot;$&quot;* &quot;-&quot;??_-;_-@_-"/>
      <alignment horizontal="center" vertical="bottom" textRotation="0" wrapText="0" indent="0" justifyLastLine="0" shrinkToFit="0" readingOrder="0"/>
    </dxf>
    <dxf>
      <font>
        <b val="0"/>
        <i val="0"/>
        <strike val="0"/>
        <condense val="0"/>
        <extend val="0"/>
        <outline val="0"/>
        <shadow val="0"/>
        <u val="none"/>
        <vertAlign val="baseline"/>
        <sz val="11"/>
        <color theme="1"/>
        <name val="Aptos Narrow"/>
        <family val="2"/>
        <scheme val="minor"/>
      </font>
      <numFmt numFmtId="164" formatCode="_-&quot;$&quot;* #,##0_-;\-&quot;$&quot;* #,##0_-;_-&quot;$&quot;* &quot;-&quot;??_-;_-@_-"/>
      <alignment horizontal="center" vertical="bottom" textRotation="0" wrapText="0" indent="0" justifyLastLine="0" shrinkToFit="0" readingOrder="0"/>
    </dxf>
    <dxf>
      <numFmt numFmtId="0" formatCode="General"/>
    </dxf>
    <dxf>
      <numFmt numFmtId="0" formatCode="General"/>
    </dxf>
    <dxf>
      <border outline="0">
        <bottom style="thin">
          <color rgb="FFFFFFFF"/>
        </bottom>
      </border>
    </dxf>
    <dxf>
      <font>
        <b val="0"/>
        <i val="0"/>
        <strike val="0"/>
        <condense val="0"/>
        <extend val="0"/>
        <outline val="0"/>
        <shadow val="0"/>
        <u val="none"/>
        <vertAlign val="baseline"/>
        <sz val="9"/>
        <color theme="0"/>
        <name val="Aptos Narrow"/>
        <family val="2"/>
        <scheme val="minor"/>
      </font>
      <fill>
        <patternFill patternType="solid">
          <fgColor indexed="64"/>
          <bgColor rgb="FF0070C0"/>
        </patternFill>
      </fill>
      <alignment horizontal="center" vertical="center" textRotation="0" wrapText="0" indent="0" justifyLastLine="0" shrinkToFit="0" readingOrder="0"/>
      <border diagonalUp="0" diagonalDown="0" outline="0">
        <left style="thin">
          <color theme="0"/>
        </left>
        <right style="thin">
          <color theme="0"/>
        </right>
        <top/>
        <bottom/>
      </border>
    </dxf>
    <dxf>
      <font>
        <strike val="0"/>
        <outline val="0"/>
        <shadow val="0"/>
        <u val="none"/>
        <vertAlign val="baseline"/>
        <sz val="10"/>
        <color theme="1"/>
        <name val="Aptos Narrow"/>
        <family val="2"/>
        <scheme val="minor"/>
      </font>
      <numFmt numFmtId="13" formatCode="0%"/>
      <alignment horizontal="center" vertical="bottom" textRotation="0" wrapText="0" indent="0" justifyLastLine="0" shrinkToFit="0" readingOrder="0"/>
    </dxf>
    <dxf>
      <font>
        <strike val="0"/>
        <outline val="0"/>
        <shadow val="0"/>
        <u val="none"/>
        <vertAlign val="baseline"/>
        <sz val="10"/>
        <color theme="1"/>
        <name val="Aptos Narrow"/>
        <family val="2"/>
        <scheme val="minor"/>
      </font>
      <numFmt numFmtId="164" formatCode="_-&quot;$&quot;* #,##0_-;\-&quot;$&quot;* #,##0_-;_-&quot;$&quot;* &quot;-&quot;??_-;_-@_-"/>
      <fill>
        <patternFill patternType="none">
          <fgColor indexed="64"/>
          <bgColor indexed="65"/>
        </patternFill>
      </fill>
    </dxf>
    <dxf>
      <font>
        <strike val="0"/>
        <outline val="0"/>
        <shadow val="0"/>
        <u val="none"/>
        <vertAlign val="baseline"/>
        <sz val="10"/>
        <color theme="1"/>
        <name val="Aptos Narrow"/>
        <family val="2"/>
        <scheme val="minor"/>
      </font>
      <numFmt numFmtId="164" formatCode="_-&quot;$&quot;* #,##0_-;\-&quot;$&quot;* #,##0_-;_-&quot;$&quot;* &quot;-&quot;??_-;_-@_-"/>
      <fill>
        <patternFill patternType="none">
          <fgColor indexed="64"/>
          <bgColor indexed="65"/>
        </patternFill>
      </fill>
    </dxf>
    <dxf>
      <font>
        <strike val="0"/>
        <outline val="0"/>
        <shadow val="0"/>
        <u val="none"/>
        <vertAlign val="baseline"/>
        <sz val="10"/>
        <color theme="1"/>
        <name val="Aptos Narrow"/>
        <family val="2"/>
        <scheme val="minor"/>
      </font>
      <numFmt numFmtId="164" formatCode="_-&quot;$&quot;* #,##0_-;\-&quot;$&quot;* #,##0_-;_-&quot;$&quot;* &quot;-&quot;??_-;_-@_-"/>
      <fill>
        <patternFill patternType="none">
          <fgColor indexed="64"/>
          <bgColor indexed="65"/>
        </patternFill>
      </fill>
    </dxf>
    <dxf>
      <font>
        <strike val="0"/>
        <outline val="0"/>
        <shadow val="0"/>
        <u val="none"/>
        <vertAlign val="baseline"/>
        <sz val="10"/>
        <color theme="1"/>
        <name val="Aptos Narrow"/>
        <family val="2"/>
        <scheme val="minor"/>
      </font>
      <numFmt numFmtId="164" formatCode="_-&quot;$&quot;* #,##0_-;\-&quot;$&quot;* #,##0_-;_-&quot;$&quot;* &quot;-&quot;??_-;_-@_-"/>
      <fill>
        <patternFill patternType="none">
          <fgColor indexed="64"/>
          <bgColor indexed="65"/>
        </patternFill>
      </fill>
    </dxf>
    <dxf>
      <font>
        <strike val="0"/>
        <outline val="0"/>
        <shadow val="0"/>
        <u val="none"/>
        <vertAlign val="baseline"/>
        <sz val="10"/>
        <color theme="1"/>
        <name val="Aptos Narrow"/>
        <family val="2"/>
        <scheme val="minor"/>
      </font>
      <fill>
        <patternFill patternType="none">
          <fgColor indexed="64"/>
          <bgColor auto="1"/>
        </patternFill>
      </fill>
    </dxf>
    <dxf>
      <font>
        <strike val="0"/>
        <outline val="0"/>
        <shadow val="0"/>
        <u val="none"/>
        <vertAlign val="baseline"/>
        <sz val="10"/>
        <color theme="1"/>
        <name val="Aptos Narrow"/>
        <family val="2"/>
        <scheme val="minor"/>
      </font>
    </dxf>
    <dxf>
      <font>
        <strike val="0"/>
        <outline val="0"/>
        <shadow val="0"/>
        <u val="none"/>
        <vertAlign val="baseline"/>
        <sz val="10"/>
        <color theme="1"/>
        <name val="Aptos Narrow"/>
        <family val="2"/>
        <scheme val="minor"/>
      </font>
    </dxf>
    <dxf>
      <border>
        <bottom style="thin">
          <color theme="0"/>
        </bottom>
      </border>
    </dxf>
    <dxf>
      <font>
        <strike val="0"/>
        <outline val="0"/>
        <shadow val="0"/>
        <u val="none"/>
        <vertAlign val="baseline"/>
        <sz val="10"/>
        <color theme="1"/>
        <name val="Aptos Narrow"/>
        <family val="2"/>
        <scheme val="minor"/>
      </font>
    </dxf>
    <dxf>
      <alignment horizontal="center" vertical="center" textRotation="0" wrapText="0" indent="0" justifyLastLine="0" shrinkToFit="0" readingOrder="0"/>
      <border diagonalUp="0" diagonalDown="0">
        <left style="thin">
          <color theme="0"/>
        </left>
        <right style="thin">
          <color theme="0"/>
        </right>
        <top/>
        <bottom/>
        <vertical style="thin">
          <color theme="0"/>
        </vertical>
        <horizontal style="thin">
          <color theme="0"/>
        </horizontal>
      </border>
    </dxf>
    <dxf>
      <font>
        <b val="0"/>
        <i val="0"/>
        <strike val="0"/>
        <condense val="0"/>
        <extend val="0"/>
        <outline val="0"/>
        <shadow val="0"/>
        <u val="none"/>
        <vertAlign val="baseline"/>
        <sz val="11"/>
        <color theme="1"/>
        <name val="Aptos Narrow"/>
        <family val="2"/>
        <scheme val="minor"/>
      </font>
      <numFmt numFmtId="164" formatCode="_-&quot;$&quot;* #,##0_-;\-&quot;$&quot;* #,##0_-;_-&quot;$&quot;* &quot;-&quot;??_-;_-@_-"/>
      <alignment horizontal="center" vertical="bottom" textRotation="0" wrapText="0" indent="0" justifyLastLine="0" shrinkToFit="0" readingOrder="0"/>
    </dxf>
    <dxf>
      <font>
        <b val="0"/>
        <i val="0"/>
        <strike val="0"/>
        <condense val="0"/>
        <extend val="0"/>
        <outline val="0"/>
        <shadow val="0"/>
        <u val="none"/>
        <vertAlign val="baseline"/>
        <sz val="11"/>
        <color theme="1"/>
        <name val="Aptos Narrow"/>
        <family val="2"/>
        <scheme val="minor"/>
      </font>
      <numFmt numFmtId="164" formatCode="_-&quot;$&quot;* #,##0_-;\-&quot;$&quot;* #,##0_-;_-&quot;$&quot;* &quot;-&quot;??_-;_-@_-"/>
      <alignment horizontal="center" vertical="bottom" textRotation="0" wrapText="0" indent="0" justifyLastLine="0" shrinkToFit="0" readingOrder="0"/>
    </dxf>
    <dxf>
      <font>
        <b val="0"/>
        <i val="0"/>
        <strike val="0"/>
        <condense val="0"/>
        <extend val="0"/>
        <outline val="0"/>
        <shadow val="0"/>
        <u val="none"/>
        <vertAlign val="baseline"/>
        <sz val="11"/>
        <color theme="1"/>
        <name val="Aptos Narrow"/>
        <family val="2"/>
        <scheme val="minor"/>
      </font>
      <numFmt numFmtId="164" formatCode="_-&quot;$&quot;* #,##0_-;\-&quot;$&quot;* #,##0_-;_-&quot;$&quot;* &quot;-&quot;??_-;_-@_-"/>
      <alignment horizontal="center" vertical="bottom" textRotation="0" wrapText="0" indent="0" justifyLastLine="0" shrinkToFit="0" readingOrder="0"/>
    </dxf>
    <dxf>
      <font>
        <b val="0"/>
        <i val="0"/>
        <strike val="0"/>
        <condense val="0"/>
        <extend val="0"/>
        <outline val="0"/>
        <shadow val="0"/>
        <u val="none"/>
        <vertAlign val="baseline"/>
        <sz val="11"/>
        <color theme="1"/>
        <name val="Aptos Narrow"/>
        <family val="2"/>
        <scheme val="minor"/>
      </font>
      <numFmt numFmtId="164" formatCode="_-&quot;$&quot;* #,##0_-;\-&quot;$&quot;* #,##0_-;_-&quot;$&quot;* &quot;-&quot;??_-;_-@_-"/>
      <alignment horizontal="center" vertical="bottom" textRotation="0" wrapText="0" indent="0" justifyLastLine="0" shrinkToFit="0" readingOrder="0"/>
    </dxf>
    <dxf>
      <numFmt numFmtId="0" formatCode="General"/>
    </dxf>
    <dxf>
      <numFmt numFmtId="0" formatCode="General"/>
    </dxf>
    <dxf>
      <border outline="0">
        <bottom style="thin">
          <color rgb="FFFFFFFF"/>
        </bottom>
      </border>
    </dxf>
    <dxf>
      <font>
        <b val="0"/>
        <i val="0"/>
        <strike val="0"/>
        <condense val="0"/>
        <extend val="0"/>
        <outline val="0"/>
        <shadow val="0"/>
        <u val="none"/>
        <vertAlign val="baseline"/>
        <sz val="9"/>
        <color theme="0"/>
        <name val="Aptos Narrow"/>
        <family val="2"/>
        <scheme val="minor"/>
      </font>
      <fill>
        <patternFill patternType="solid">
          <fgColor indexed="64"/>
          <bgColor rgb="FF0070C0"/>
        </patternFill>
      </fill>
      <alignment horizontal="center" vertical="center" textRotation="0" wrapText="0" indent="0" justifyLastLine="0" shrinkToFit="0" readingOrder="0"/>
      <border diagonalUp="0" diagonalDown="0" outline="0">
        <left style="thin">
          <color theme="0"/>
        </left>
        <right style="thin">
          <color theme="0"/>
        </right>
        <top/>
        <bottom/>
      </border>
    </dxf>
  </dxfs>
  <tableStyles count="0" defaultTableStyle="TableStyleMedium2" defaultPivotStyle="PivotStyleLight16"/>
  <colors>
    <mruColors>
      <color rgb="FF00CC66"/>
      <color rgb="FF339966"/>
      <color rgb="FFFF3300"/>
      <color rgb="FF00CC99"/>
      <color rgb="FFFF6600"/>
      <color rgb="FF99FF99"/>
      <color rgb="FF66FF66"/>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externalLink" Target="externalLinks/externalLink1.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externalLink" Target="externalLinks/externalLink2.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absolute">
    <xdr:from>
      <xdr:col>1</xdr:col>
      <xdr:colOff>229228</xdr:colOff>
      <xdr:row>1</xdr:row>
      <xdr:rowOff>76200</xdr:rowOff>
    </xdr:from>
    <xdr:to>
      <xdr:col>3</xdr:col>
      <xdr:colOff>6132</xdr:colOff>
      <xdr:row>3</xdr:row>
      <xdr:rowOff>88695</xdr:rowOff>
    </xdr:to>
    <xdr:pic>
      <xdr:nvPicPr>
        <xdr:cNvPr id="2" name="Imagen 1">
          <a:extLst>
            <a:ext uri="{FF2B5EF4-FFF2-40B4-BE49-F238E27FC236}">
              <a16:creationId xmlns:a16="http://schemas.microsoft.com/office/drawing/2014/main" id="{C05429F9-DD81-4615-9F46-9DB3EC7FEEBB}"/>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419100" y="259080"/>
          <a:ext cx="2039373" cy="378255"/>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absolute">
    <xdr:from>
      <xdr:col>0</xdr:col>
      <xdr:colOff>267277</xdr:colOff>
      <xdr:row>1</xdr:row>
      <xdr:rowOff>59452</xdr:rowOff>
    </xdr:from>
    <xdr:to>
      <xdr:col>2</xdr:col>
      <xdr:colOff>1557037</xdr:colOff>
      <xdr:row>3</xdr:row>
      <xdr:rowOff>71947</xdr:rowOff>
    </xdr:to>
    <xdr:pic>
      <xdr:nvPicPr>
        <xdr:cNvPr id="2" name="Imagen 1">
          <a:extLst>
            <a:ext uri="{FF2B5EF4-FFF2-40B4-BE49-F238E27FC236}">
              <a16:creationId xmlns:a16="http://schemas.microsoft.com/office/drawing/2014/main" id="{438DEDE3-4209-414A-89A7-3C2E1EBE8089}"/>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67277" y="242332"/>
          <a:ext cx="2013305" cy="378255"/>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3" Type="http://schemas.openxmlformats.org/officeDocument/2006/relationships/externalLinkPath" Target="../../../&#9733;%20Proyectos%20Activos/MYPSA/Compensaciones/4.%20Back%20Office/2.%20Competitividad/2.%20Post%20Estructura%20Org/Investigaci&#243;n%20Salarial%20-%20Fases%20v2.xlsx" TargetMode="External"/><Relationship Id="rId2" Type="http://schemas.openxmlformats.org/officeDocument/2006/relationships/externalLinkPath" Target="https://d.docs.live.net/041d57eb966b3500/Consultor&#237;a%20Angie-ak/&#9733;%20Proyectos%20Activos/MYPSA/Compensaciones/4.%20Back%20Office/2.%20Competitividad/2.%20Post%20Estructura%20Org/Investigaci&#243;n%20Salarial%20-%20Fases%20v2.xlsx" TargetMode="External"/><Relationship Id="rId1" Type="http://schemas.openxmlformats.org/officeDocument/2006/relationships/externalLinkPath" Target="/041d57eb966b3500/Consultor&#237;a%20Angie-ak/&#9733;%20Proyectos%20Activos/MYPSA/Compensaciones/4.%20Back%20Office/2.%20Competitividad/2.%20Post%20Estructura%20Org/Investigaci&#243;n%20Salarial%20-%20Fases%20v2.xlsx" TargetMode="External"/></Relationships>
</file>

<file path=xl/externalLinks/_rels/externalLink2.xml.rels><?xml version="1.0" encoding="UTF-8" standalone="yes"?>
<Relationships xmlns="http://schemas.openxmlformats.org/package/2006/relationships"><Relationship Id="rId3" Type="http://schemas.openxmlformats.org/officeDocument/2006/relationships/externalLinkPath" Target="../../../&#9733;%20Proyectos%20Activos/MYPSA/Compensaciones/4.%20Back%20Office/2.%20Competitividad/2.%20Post%20Estructura%20Org/Formato%20-%20Selecci&#243;n%20de%20Puestos%20Tipo%20-%202024.xlsx" TargetMode="External"/><Relationship Id="rId2" Type="http://schemas.openxmlformats.org/officeDocument/2006/relationships/externalLinkPath" Target="https://d.docs.live.net/041d57eb966b3500/Consultor&#237;a%20Angie-ak/&#9997;%20Templates/6.%20Estandarizaci&#243;n%20Compensaciones/Formato%20-%20Selecci&#243;n%20de%20Puestos%20Tipo%20-%202024.xlsx" TargetMode="External"/><Relationship Id="rId1" Type="http://schemas.openxmlformats.org/officeDocument/2006/relationships/externalLinkPath" Target="/041d57eb966b3500/Consultor&#237;a%20Angie-ak/&#9733;%20Proyectos%20Activos/MYPSA/Compensaciones/4.%20Back%20Office/2.%20Competitividad/2.%20Post%20Estructura%20Org/Formato%20-%20Selecci&#243;n%20de%20Puestos%20Tipo%20-%202024.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relativeUrl r:id="rId3"/>
    </xxl21:alternateUrls>
    <sheetNames>
      <sheetName val="Hoja1"/>
      <sheetName val="Competitividad"/>
      <sheetName val="Listado"/>
      <sheetName val="Resultados"/>
      <sheetName val="FASE 0"/>
      <sheetName val="FASE 1"/>
      <sheetName val="FASE 2"/>
      <sheetName val="FASE 3"/>
      <sheetName val="FASE 5"/>
      <sheetName val="FASE 4"/>
      <sheetName val="Imagenes"/>
      <sheetName val="Investigación Salarial - Fases "/>
    </sheetNames>
    <sheetDataSet>
      <sheetData sheetId="0" refreshError="1"/>
      <sheetData sheetId="1" refreshError="1"/>
      <sheetData sheetId="2"/>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relativeUrl r:id="rId3"/>
    </xxl21:alternateUrls>
    <sheetNames>
      <sheetName val="Instrucciones"/>
      <sheetName val="Puestos tipo"/>
      <sheetName val="Anexo"/>
      <sheetName val="Mercer - Catalogo de Puestos"/>
      <sheetName val="CD - Catalogo"/>
    </sheetNames>
    <sheetDataSet>
      <sheetData sheetId="0"/>
      <sheetData sheetId="1"/>
      <sheetData sheetId="2"/>
      <sheetData sheetId="3"/>
      <sheetData sheetId="4"/>
    </sheetDataSet>
  </externalBook>
</externalLink>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 xr:uid="{87A49776-68A0-43B5-BB1E-A16B09B37AFF}" name="Tabla14" displayName="Tabla14" ref="B22:I42" totalsRowShown="0" headerRowDxfId="26" dataDxfId="25" headerRowBorderDxfId="24">
  <sortState xmlns:xlrd2="http://schemas.microsoft.com/office/spreadsheetml/2017/richdata2" ref="B23:I42">
    <sortCondition ref="B22:B42"/>
  </sortState>
  <tableColumns count="8">
    <tableColumn id="1" xr3:uid="{D12708C8-0E7A-49C4-AF57-49FDA6D85361}" name="#" dataDxfId="23"/>
    <tableColumn id="4" xr3:uid="{A802944B-3D80-4C7E-8B64-2D7E70A9C32A}" name="ÁREA " dataDxfId="22"/>
    <tableColumn id="2" xr3:uid="{2AE08525-3ADD-48DA-8FFD-4810875A1CA6}" name="PUESTOS " dataDxfId="21"/>
    <tableColumn id="9" xr3:uid="{3CCE85D7-562D-4311-8672-072C99DC8837}" name="25P" dataDxfId="20"/>
    <tableColumn id="10" xr3:uid="{45C0FECB-2BC9-4DD0-86D9-5419EAE36720}" name="50P" dataDxfId="19"/>
    <tableColumn id="11" xr3:uid="{3CC8069E-17AC-463B-A81F-4672CFF068BF}" name="PROMEDIO" dataDxfId="18"/>
    <tableColumn id="12" xr3:uid="{870B44C8-19C3-436A-A868-6EDDEF8E9C39}" name="75P" dataDxfId="17"/>
    <tableColumn id="14" xr3:uid="{53CDD169-AA34-4ACD-BA20-9B53A98E199E}" name="VARIANZA EN MERCADO" dataDxfId="16" dataCellStyle="Porcentaje">
      <calculatedColumnFormula>Tabla14[[#This Row],[75P]]/Tabla14[[#This Row],[25P]]-1</calculatedColumnFormula>
    </tableColumn>
  </tableColumns>
  <tableStyleInfo name="TableStyleLight15"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09AD7FCA-00AC-4C47-880F-3A02FDAAB3CF}" name="Comp_total1011" displayName="Comp_total1011" ref="B55:H75" totalsRowShown="0" headerRowDxfId="34" headerRowBorderDxfId="33">
  <autoFilter ref="B55:H75" xr:uid="{09AD7FCA-00AC-4C47-880F-3A02FDAAB3CF}"/>
  <tableColumns count="7">
    <tableColumn id="1" xr3:uid="{19DB1777-6E7F-4929-BF86-5E1C4F2F25EF}" name="#" dataDxfId="32"/>
    <tableColumn id="4" xr3:uid="{E9C0BE7E-2F54-485C-82E6-A575DBDF0F84}" name="Área" dataDxfId="31"/>
    <tableColumn id="2" xr3:uid="{40274BDC-950D-41C5-A041-1065D5C1E6DB}" name="Nombre de Puestos"/>
    <tableColumn id="17" xr3:uid="{C1116185-F8A6-45D1-BBE9-1AB23F04B9F9}" name="Costo mensual actual" dataDxfId="30" dataCellStyle="Moneda"/>
    <tableColumn id="19" xr3:uid="{B60C2DC2-3CA8-418A-BA7E-12137AB6B470}" name="Costo mensual - 25P" dataDxfId="29" dataCellStyle="Moneda"/>
    <tableColumn id="20" xr3:uid="{A4A49F55-8FB7-49F6-9C04-5B907119A086}" name="Costo mensual - 50P" dataDxfId="28" dataCellStyle="Moneda"/>
    <tableColumn id="23" xr3:uid="{4C99EAE2-58F9-4B40-9052-F1B810CB8F45}" name="Costo mensual - 75P" dataDxfId="27" dataCellStyle="Moneda"/>
  </tableColumns>
  <tableStyleInfo name="TableStyleLight15"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74E7649D-8658-49CF-ADB2-FF0D77B9609E}" name="Comp_total102" displayName="Comp_total102" ref="B86:P106" totalsRowShown="0" headerRowDxfId="15" headerRowBorderDxfId="14">
  <autoFilter ref="B86:P106" xr:uid="{74E7649D-8658-49CF-ADB2-FF0D77B9609E}"/>
  <tableColumns count="15">
    <tableColumn id="1" xr3:uid="{328F8FB9-2CAB-4891-B043-EAEC50C79622}" name="#" dataDxfId="13"/>
    <tableColumn id="4" xr3:uid="{3B0C6966-3B05-4638-85A3-D111378495AE}" name="Área" dataDxfId="12"/>
    <tableColumn id="2" xr3:uid="{539E7F08-AEA7-4659-BDD3-8EE4945EBF14}" name="Nombre de Puestos"/>
    <tableColumn id="3" xr3:uid="{4FE03186-430F-443C-AC99-1050B1171410}" name="Sueldo anual - 25P" dataDxfId="11" dataCellStyle="Moneda"/>
    <tableColumn id="5" xr3:uid="{0DF40FD4-8390-43A0-98BA-29544DB7D5F0}" name="Total Garantizado Mercado - 25P" dataDxfId="10" dataCellStyle="Moneda"/>
    <tableColumn id="10" xr3:uid="{247FA0FC-9588-459D-8E7D-32F92E540ECE}" name="Total Variable Mercado - 25P" dataDxfId="9" dataCellStyle="Moneda"/>
    <tableColumn id="11" xr3:uid="{FEED84C6-A575-40A1-89D1-B7299DD5CF80}" name="Total Retribución Mercado - 25P" dataDxfId="8" dataCellStyle="Moneda"/>
    <tableColumn id="38" xr3:uid="{BE28D351-1057-43D5-A60B-4E0A5396A060}" name="Sueldo anual - 50P" dataDxfId="7" dataCellStyle="Moneda"/>
    <tableColumn id="37" xr3:uid="{F6CCE019-BCB1-4C78-A94E-673B6F02AAFC}" name="Total Garantizado Mercado - 50P" dataDxfId="6" dataCellStyle="Moneda"/>
    <tableColumn id="31" xr3:uid="{6EDE48D5-6B6D-4FE0-BC00-63395CBDF13C}" name="Total Variable Mercado - 50P" dataDxfId="5" dataCellStyle="Moneda"/>
    <tableColumn id="41" xr3:uid="{6C8A20E5-D1D5-47CE-8A2F-B2944D05C8C1}" name="Total Retribución Mercado - 50P" dataDxfId="4" dataCellStyle="Moneda"/>
    <tableColumn id="13" xr3:uid="{01F784C4-3B87-42ED-99DA-D7584F44F4AB}" name="Sueldo anual - 75P" dataDxfId="3" dataCellStyle="Moneda"/>
    <tableColumn id="14" xr3:uid="{EFAC8C6E-B765-4E4D-9B7B-1DC6C4E4F3AE}" name="Total Garantizado Mercado - 75P" dataDxfId="2" dataCellStyle="Moneda"/>
    <tableColumn id="15" xr3:uid="{05D58E28-A970-4CF9-8520-33477623F2FC}" name="Total Variable Mercado - 75P" dataDxfId="1" dataCellStyle="Moneda"/>
    <tableColumn id="16" xr3:uid="{43A11EC1-B62A-401A-9CF3-97091E1C2ABE}" name="Total Retribución Mercado - 75P" dataDxfId="0" dataCellStyle="Moneda"/>
  </tableColumns>
  <tableStyleInfo name="TableStyleLight15" showFirstColumn="0" showLastColumn="0" showRowStripes="1" showColumnStripes="0"/>
</table>
</file>

<file path=xl/theme/theme1.xml><?xml version="1.0" encoding="utf-8"?>
<a:theme xmlns:a="http://schemas.openxmlformats.org/drawingml/2006/main" name="Tema de Offic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table" Target="../tables/table3.xml"/><Relationship Id="rId2" Type="http://schemas.openxmlformats.org/officeDocument/2006/relationships/table" Target="../tables/table2.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52433D-E10A-4FCD-89E4-FBEB63F93038}">
  <dimension ref="A1:U66"/>
  <sheetViews>
    <sheetView showGridLines="0" tabSelected="1" zoomScale="84" zoomScaleNormal="107" workbookViewId="0">
      <selection activeCell="I18" sqref="E1:I1048576"/>
    </sheetView>
  </sheetViews>
  <sheetFormatPr baseColWidth="10" defaultColWidth="0" defaultRowHeight="15" customHeight="1" x14ac:dyDescent="0.3"/>
  <cols>
    <col min="1" max="1" width="2.88671875" customWidth="1"/>
    <col min="2" max="2" width="4.5546875" customWidth="1"/>
    <col min="3" max="3" width="28.33203125" customWidth="1"/>
    <col min="4" max="4" width="32.5546875" customWidth="1"/>
    <col min="5" max="9" width="15.21875" customWidth="1"/>
    <col min="10" max="11" width="11.88671875" customWidth="1"/>
    <col min="12" max="12" width="12.44140625" bestFit="1" customWidth="1"/>
    <col min="13" max="14" width="4.6640625" customWidth="1"/>
    <col min="15" max="15" width="4.6640625" hidden="1"/>
    <col min="22" max="16384" width="11.5546875" hidden="1"/>
  </cols>
  <sheetData>
    <row r="1" spans="2:11" ht="14.4" x14ac:dyDescent="0.3"/>
    <row r="2" spans="2:11" ht="14.4" x14ac:dyDescent="0.3"/>
    <row r="3" spans="2:11" ht="14.4" x14ac:dyDescent="0.3"/>
    <row r="4" spans="2:11" ht="47.4" x14ac:dyDescent="0.9">
      <c r="B4" s="54" t="s">
        <v>0</v>
      </c>
      <c r="C4" s="54"/>
      <c r="D4" s="54"/>
      <c r="E4" s="54"/>
      <c r="F4" s="54"/>
      <c r="G4" s="54"/>
      <c r="H4" s="54"/>
      <c r="I4" s="54"/>
      <c r="J4" s="54"/>
      <c r="K4" s="54"/>
    </row>
    <row r="5" spans="2:11" ht="16.8" x14ac:dyDescent="0.4">
      <c r="B5" s="7" t="s">
        <v>1</v>
      </c>
    </row>
    <row r="6" spans="2:11" ht="14.4" x14ac:dyDescent="0.3"/>
    <row r="7" spans="2:11" ht="27.6" x14ac:dyDescent="0.65">
      <c r="B7" s="4" t="s">
        <v>2</v>
      </c>
    </row>
    <row r="8" spans="2:11" ht="16.8" x14ac:dyDescent="0.4">
      <c r="B8" s="5" t="s">
        <v>3</v>
      </c>
    </row>
    <row r="9" spans="2:11" ht="16.8" x14ac:dyDescent="0.3">
      <c r="B9" s="6" t="s">
        <v>4</v>
      </c>
    </row>
    <row r="10" spans="2:11" ht="16.8" x14ac:dyDescent="0.3">
      <c r="B10" s="6" t="s">
        <v>5</v>
      </c>
    </row>
    <row r="11" spans="2:11" ht="16.8" x14ac:dyDescent="0.3">
      <c r="B11" s="6" t="s">
        <v>6</v>
      </c>
    </row>
    <row r="12" spans="2:11" ht="16.8" x14ac:dyDescent="0.3">
      <c r="B12" s="6" t="s">
        <v>7</v>
      </c>
    </row>
    <row r="13" spans="2:11" ht="14.4" x14ac:dyDescent="0.3"/>
    <row r="14" spans="2:11" s="28" customFormat="1" ht="27.6" x14ac:dyDescent="0.65">
      <c r="B14" s="29" t="s">
        <v>8</v>
      </c>
    </row>
    <row r="15" spans="2:11" ht="14.4" x14ac:dyDescent="0.3"/>
    <row r="16" spans="2:11" ht="16.8" x14ac:dyDescent="0.4">
      <c r="B16" s="30" t="s">
        <v>9</v>
      </c>
      <c r="C16" s="7"/>
    </row>
    <row r="17" spans="2:9" ht="16.8" x14ac:dyDescent="0.4">
      <c r="B17" s="8"/>
      <c r="C17" s="1" t="s">
        <v>66</v>
      </c>
    </row>
    <row r="18" spans="2:9" ht="16.8" x14ac:dyDescent="0.4">
      <c r="B18" s="9"/>
      <c r="C18" s="1" t="s">
        <v>67</v>
      </c>
    </row>
    <row r="19" spans="2:9" ht="16.8" x14ac:dyDescent="0.4">
      <c r="B19" s="10"/>
      <c r="C19" s="1" t="s">
        <v>68</v>
      </c>
    </row>
    <row r="20" spans="2:9" ht="14.4" x14ac:dyDescent="0.3"/>
    <row r="21" spans="2:9" ht="30.6" customHeight="1" x14ac:dyDescent="0.3">
      <c r="B21" s="67" t="s">
        <v>97</v>
      </c>
      <c r="C21" s="67"/>
      <c r="D21" s="67"/>
      <c r="E21" s="67" t="s">
        <v>10</v>
      </c>
      <c r="F21" s="67"/>
      <c r="G21" s="67"/>
      <c r="H21" s="67"/>
      <c r="I21" s="67"/>
    </row>
    <row r="22" spans="2:9" ht="27.6" x14ac:dyDescent="0.3">
      <c r="B22" s="38" t="s">
        <v>11</v>
      </c>
      <c r="C22" s="38" t="s">
        <v>12</v>
      </c>
      <c r="D22" s="38" t="s">
        <v>13</v>
      </c>
      <c r="E22" s="43" t="s">
        <v>14</v>
      </c>
      <c r="F22" s="44" t="s">
        <v>15</v>
      </c>
      <c r="G22" s="44" t="s">
        <v>16</v>
      </c>
      <c r="H22" s="44" t="s">
        <v>17</v>
      </c>
      <c r="I22" s="39" t="s">
        <v>18</v>
      </c>
    </row>
    <row r="23" spans="2:9" ht="14.4" x14ac:dyDescent="0.3">
      <c r="B23" s="40">
        <v>1</v>
      </c>
      <c r="C23" s="41" t="s">
        <v>19</v>
      </c>
      <c r="D23" s="41" t="s">
        <v>20</v>
      </c>
      <c r="E23" s="45">
        <v>135837</v>
      </c>
      <c r="F23" s="45">
        <v>167700</v>
      </c>
      <c r="G23" s="45">
        <v>164346</v>
      </c>
      <c r="H23" s="45">
        <v>204594</v>
      </c>
      <c r="I23" s="42">
        <f>Tabla14[[#This Row],[75P]]/Tabla14[[#This Row],[25P]]-1</f>
        <v>0.50617283950617287</v>
      </c>
    </row>
    <row r="24" spans="2:9" ht="14.4" x14ac:dyDescent="0.3">
      <c r="B24" s="40">
        <v>2</v>
      </c>
      <c r="C24" s="41" t="s">
        <v>21</v>
      </c>
      <c r="D24" s="40" t="s">
        <v>22</v>
      </c>
      <c r="E24" s="45">
        <v>128160</v>
      </c>
      <c r="F24" s="45">
        <v>144000</v>
      </c>
      <c r="G24" s="45">
        <v>156960</v>
      </c>
      <c r="H24" s="45">
        <v>172800</v>
      </c>
      <c r="I24" s="42">
        <f>Tabla14[[#This Row],[75P]]/Tabla14[[#This Row],[25P]]-1</f>
        <v>0.348314606741573</v>
      </c>
    </row>
    <row r="25" spans="2:9" ht="14.4" x14ac:dyDescent="0.3">
      <c r="B25" s="40">
        <v>3</v>
      </c>
      <c r="C25" s="41" t="s">
        <v>23</v>
      </c>
      <c r="D25" s="40" t="s">
        <v>24</v>
      </c>
      <c r="E25" s="45">
        <v>87516</v>
      </c>
      <c r="F25" s="45">
        <v>99450</v>
      </c>
      <c r="G25" s="45">
        <v>109395.00000000001</v>
      </c>
      <c r="H25" s="45">
        <v>123318</v>
      </c>
      <c r="I25" s="42">
        <f>Tabla14[[#This Row],[75P]]/Tabla14[[#This Row],[25P]]-1</f>
        <v>0.40909090909090917</v>
      </c>
    </row>
    <row r="26" spans="2:9" ht="14.4" x14ac:dyDescent="0.3">
      <c r="B26" s="40">
        <v>4</v>
      </c>
      <c r="C26" s="41" t="s">
        <v>25</v>
      </c>
      <c r="D26" s="40" t="s">
        <v>26</v>
      </c>
      <c r="E26" s="45">
        <v>76950</v>
      </c>
      <c r="F26" s="45">
        <v>95000</v>
      </c>
      <c r="G26" s="45">
        <v>91200</v>
      </c>
      <c r="H26" s="45">
        <v>121600</v>
      </c>
      <c r="I26" s="42">
        <f>Tabla14[[#This Row],[75P]]/Tabla14[[#This Row],[25P]]-1</f>
        <v>0.58024691358024683</v>
      </c>
    </row>
    <row r="27" spans="2:9" ht="14.4" x14ac:dyDescent="0.3">
      <c r="B27" s="40">
        <v>5</v>
      </c>
      <c r="C27" s="41" t="s">
        <v>27</v>
      </c>
      <c r="D27" s="40" t="s">
        <v>28</v>
      </c>
      <c r="E27" s="45">
        <v>89880</v>
      </c>
      <c r="F27" s="45">
        <v>107000</v>
      </c>
      <c r="G27" s="45">
        <v>107000</v>
      </c>
      <c r="H27" s="45">
        <v>136960</v>
      </c>
      <c r="I27" s="42">
        <f>Tabla14[[#This Row],[75P]]/Tabla14[[#This Row],[25P]]-1</f>
        <v>0.52380952380952372</v>
      </c>
    </row>
    <row r="28" spans="2:9" ht="14.4" x14ac:dyDescent="0.3">
      <c r="B28" s="40">
        <v>6</v>
      </c>
      <c r="C28" s="40" t="s">
        <v>29</v>
      </c>
      <c r="D28" s="40" t="s">
        <v>30</v>
      </c>
      <c r="E28" s="45">
        <v>38304.5</v>
      </c>
      <c r="F28" s="45">
        <v>46150</v>
      </c>
      <c r="G28" s="45">
        <v>45227</v>
      </c>
      <c r="H28" s="45">
        <v>55380</v>
      </c>
      <c r="I28" s="42">
        <f>Tabla14[[#This Row],[75P]]/Tabla14[[#This Row],[25P]]-1</f>
        <v>0.44578313253012047</v>
      </c>
    </row>
    <row r="29" spans="2:9" ht="14.4" x14ac:dyDescent="0.3">
      <c r="B29" s="40">
        <v>7</v>
      </c>
      <c r="C29" s="40" t="s">
        <v>21</v>
      </c>
      <c r="D29" s="41" t="s">
        <v>31</v>
      </c>
      <c r="E29" s="45">
        <v>30651.600000000002</v>
      </c>
      <c r="F29" s="45">
        <v>34440</v>
      </c>
      <c r="G29" s="45">
        <v>33406.799999999996</v>
      </c>
      <c r="H29" s="45">
        <v>42016.799999999996</v>
      </c>
      <c r="I29" s="42">
        <f>Tabla14[[#This Row],[75P]]/Tabla14[[#This Row],[25P]]-1</f>
        <v>0.37078651685393238</v>
      </c>
    </row>
    <row r="30" spans="2:9" ht="14.4" x14ac:dyDescent="0.3">
      <c r="B30" s="40">
        <v>8</v>
      </c>
      <c r="C30" s="40" t="s">
        <v>25</v>
      </c>
      <c r="D30" s="40" t="s">
        <v>32</v>
      </c>
      <c r="E30" s="45">
        <v>47749.5</v>
      </c>
      <c r="F30" s="45">
        <v>58950</v>
      </c>
      <c r="G30" s="45">
        <v>55413</v>
      </c>
      <c r="H30" s="45">
        <v>73098</v>
      </c>
      <c r="I30" s="42">
        <f>Tabla14[[#This Row],[75P]]/Tabla14[[#This Row],[25P]]-1</f>
        <v>0.53086419753086411</v>
      </c>
    </row>
    <row r="31" spans="2:9" ht="14.4" x14ac:dyDescent="0.3">
      <c r="B31" s="40">
        <v>9</v>
      </c>
      <c r="C31" s="40" t="s">
        <v>21</v>
      </c>
      <c r="D31" s="40" t="s">
        <v>33</v>
      </c>
      <c r="E31" s="45">
        <v>39060</v>
      </c>
      <c r="F31" s="45">
        <v>46500</v>
      </c>
      <c r="G31" s="45">
        <v>48825</v>
      </c>
      <c r="H31" s="45">
        <v>58125</v>
      </c>
      <c r="I31" s="42">
        <f>Tabla14[[#This Row],[75P]]/Tabla14[[#This Row],[25P]]-1</f>
        <v>0.48809523809523814</v>
      </c>
    </row>
    <row r="32" spans="2:9" ht="14.4" x14ac:dyDescent="0.3">
      <c r="B32" s="40">
        <v>10</v>
      </c>
      <c r="C32" s="40" t="s">
        <v>21</v>
      </c>
      <c r="D32" s="40" t="s">
        <v>34</v>
      </c>
      <c r="E32" s="45">
        <v>19008</v>
      </c>
      <c r="F32" s="45">
        <v>23760</v>
      </c>
      <c r="G32" s="45">
        <v>22572</v>
      </c>
      <c r="H32" s="45">
        <v>30888</v>
      </c>
      <c r="I32" s="42">
        <f>Tabla14[[#This Row],[75P]]/Tabla14[[#This Row],[25P]]-1</f>
        <v>0.625</v>
      </c>
    </row>
    <row r="33" spans="2:9" ht="14.4" x14ac:dyDescent="0.3">
      <c r="B33" s="40">
        <v>11</v>
      </c>
      <c r="C33" s="40" t="s">
        <v>27</v>
      </c>
      <c r="D33" s="40" t="s">
        <v>35</v>
      </c>
      <c r="E33" s="45">
        <v>14968.8</v>
      </c>
      <c r="F33" s="45">
        <v>17820</v>
      </c>
      <c r="G33" s="45">
        <v>18711</v>
      </c>
      <c r="H33" s="45">
        <v>22275</v>
      </c>
      <c r="I33" s="42">
        <f>Tabla14[[#This Row],[75P]]/Tabla14[[#This Row],[25P]]-1</f>
        <v>0.48809523809523814</v>
      </c>
    </row>
    <row r="34" spans="2:9" ht="14.4" x14ac:dyDescent="0.3">
      <c r="B34" s="40">
        <v>12</v>
      </c>
      <c r="C34" s="40" t="s">
        <v>25</v>
      </c>
      <c r="D34" s="40" t="s">
        <v>36</v>
      </c>
      <c r="E34" s="45">
        <v>19575</v>
      </c>
      <c r="F34" s="45">
        <v>22500</v>
      </c>
      <c r="G34" s="45">
        <v>22950</v>
      </c>
      <c r="H34" s="45">
        <v>27675</v>
      </c>
      <c r="I34" s="42">
        <f>Tabla14[[#This Row],[75P]]/Tabla14[[#This Row],[25P]]-1</f>
        <v>0.4137931034482758</v>
      </c>
    </row>
    <row r="35" spans="2:9" ht="14.4" x14ac:dyDescent="0.3">
      <c r="B35" s="40">
        <v>13</v>
      </c>
      <c r="C35" s="40" t="s">
        <v>23</v>
      </c>
      <c r="D35" s="40" t="s">
        <v>37</v>
      </c>
      <c r="E35" s="45">
        <v>24731.199999999997</v>
      </c>
      <c r="F35" s="45">
        <v>30159.999999999996</v>
      </c>
      <c r="G35" s="45">
        <v>33176</v>
      </c>
      <c r="H35" s="45">
        <v>36795.199999999997</v>
      </c>
      <c r="I35" s="42">
        <f>Tabla14[[#This Row],[75P]]/Tabla14[[#This Row],[25P]]-1</f>
        <v>0.48780487804878048</v>
      </c>
    </row>
    <row r="36" spans="2:9" ht="14.4" x14ac:dyDescent="0.3">
      <c r="B36" s="40">
        <v>14</v>
      </c>
      <c r="C36" s="40" t="s">
        <v>29</v>
      </c>
      <c r="D36" s="40" t="s">
        <v>38</v>
      </c>
      <c r="E36" s="45">
        <v>8017.7999999999993</v>
      </c>
      <c r="F36" s="45">
        <v>9660</v>
      </c>
      <c r="G36" s="45">
        <v>9660</v>
      </c>
      <c r="H36" s="45">
        <v>12461.4</v>
      </c>
      <c r="I36" s="42">
        <f>Tabla14[[#This Row],[75P]]/Tabla14[[#This Row],[25P]]-1</f>
        <v>0.55421686746987953</v>
      </c>
    </row>
    <row r="37" spans="2:9" ht="14.4" x14ac:dyDescent="0.3">
      <c r="B37" s="40">
        <v>15</v>
      </c>
      <c r="C37" s="40" t="s">
        <v>29</v>
      </c>
      <c r="D37" s="40" t="s">
        <v>39</v>
      </c>
      <c r="E37" s="45">
        <v>10137.6</v>
      </c>
      <c r="F37" s="45">
        <v>11520</v>
      </c>
      <c r="G37" s="45">
        <v>10598.4</v>
      </c>
      <c r="H37" s="45">
        <v>14054.4</v>
      </c>
      <c r="I37" s="42">
        <f>Tabla14[[#This Row],[75P]]/Tabla14[[#This Row],[25P]]-1</f>
        <v>0.38636363636363624</v>
      </c>
    </row>
    <row r="38" spans="2:9" ht="14.4" x14ac:dyDescent="0.3">
      <c r="B38" s="40">
        <v>16</v>
      </c>
      <c r="C38" s="40" t="s">
        <v>23</v>
      </c>
      <c r="D38" s="40" t="s">
        <v>40</v>
      </c>
      <c r="E38" s="45">
        <v>23800.000000000004</v>
      </c>
      <c r="F38" s="45">
        <v>28000.000000000004</v>
      </c>
      <c r="G38" s="45">
        <v>29680.000000000004</v>
      </c>
      <c r="H38" s="45">
        <v>35560.000000000007</v>
      </c>
      <c r="I38" s="42">
        <f>Tabla14[[#This Row],[75P]]/Tabla14[[#This Row],[25P]]-1</f>
        <v>0.49411764705882355</v>
      </c>
    </row>
    <row r="39" spans="2:9" ht="14.4" x14ac:dyDescent="0.3">
      <c r="B39" s="40">
        <v>17</v>
      </c>
      <c r="C39" s="40" t="s">
        <v>19</v>
      </c>
      <c r="D39" s="40" t="s">
        <v>41</v>
      </c>
      <c r="E39" s="45">
        <v>19197</v>
      </c>
      <c r="F39" s="45">
        <v>23700</v>
      </c>
      <c r="G39" s="45">
        <v>23463</v>
      </c>
      <c r="H39" s="45">
        <v>29151</v>
      </c>
      <c r="I39" s="42">
        <f>Tabla14[[#This Row],[75P]]/Tabla14[[#This Row],[25P]]-1</f>
        <v>0.5185185185185186</v>
      </c>
    </row>
    <row r="40" spans="2:9" ht="14.4" x14ac:dyDescent="0.3">
      <c r="B40" s="40">
        <v>18</v>
      </c>
      <c r="C40" s="40" t="s">
        <v>25</v>
      </c>
      <c r="D40" s="40" t="s">
        <v>42</v>
      </c>
      <c r="E40" s="45">
        <v>34800</v>
      </c>
      <c r="F40" s="45">
        <v>40000</v>
      </c>
      <c r="G40" s="45">
        <v>36800</v>
      </c>
      <c r="H40" s="45">
        <v>50000</v>
      </c>
      <c r="I40" s="42">
        <f>Tabla14[[#This Row],[75P]]/Tabla14[[#This Row],[25P]]-1</f>
        <v>0.43678160919540221</v>
      </c>
    </row>
    <row r="41" spans="2:9" ht="14.4" x14ac:dyDescent="0.3">
      <c r="B41" s="40">
        <v>19</v>
      </c>
      <c r="C41" s="40" t="s">
        <v>27</v>
      </c>
      <c r="D41" s="40" t="s">
        <v>43</v>
      </c>
      <c r="E41" s="45">
        <v>32894.400000000001</v>
      </c>
      <c r="F41" s="45">
        <v>37380</v>
      </c>
      <c r="G41" s="45">
        <v>39249</v>
      </c>
      <c r="H41" s="45">
        <v>48220.200000000004</v>
      </c>
      <c r="I41" s="42">
        <f>Tabla14[[#This Row],[75P]]/Tabla14[[#This Row],[25P]]-1</f>
        <v>0.46590909090909105</v>
      </c>
    </row>
    <row r="42" spans="2:9" ht="14.4" x14ac:dyDescent="0.3">
      <c r="B42" s="40">
        <v>20</v>
      </c>
      <c r="C42" s="40" t="s">
        <v>21</v>
      </c>
      <c r="D42" s="40" t="s">
        <v>44</v>
      </c>
      <c r="E42" s="45">
        <v>15470</v>
      </c>
      <c r="F42" s="45">
        <v>18200</v>
      </c>
      <c r="G42" s="45">
        <v>18200</v>
      </c>
      <c r="H42" s="45">
        <v>23478</v>
      </c>
      <c r="I42" s="42">
        <f>Tabla14[[#This Row],[75P]]/Tabla14[[#This Row],[25P]]-1</f>
        <v>0.51764705882352935</v>
      </c>
    </row>
    <row r="43" spans="2:9" ht="14.4" x14ac:dyDescent="0.3"/>
    <row r="44" spans="2:9" ht="14.4" x14ac:dyDescent="0.3"/>
    <row r="45" spans="2:9" ht="14.4" x14ac:dyDescent="0.3"/>
    <row r="46" spans="2:9" ht="14.4" x14ac:dyDescent="0.3"/>
    <row r="47" spans="2:9" ht="14.4" x14ac:dyDescent="0.3"/>
    <row r="48" spans="2:9" ht="14.4" x14ac:dyDescent="0.3"/>
    <row r="49" ht="14.4" x14ac:dyDescent="0.3"/>
    <row r="50" ht="14.4" x14ac:dyDescent="0.3"/>
    <row r="51" ht="14.4" x14ac:dyDescent="0.3"/>
    <row r="52" ht="14.4" x14ac:dyDescent="0.3"/>
    <row r="53" ht="14.4" x14ac:dyDescent="0.3"/>
    <row r="54" ht="14.4" x14ac:dyDescent="0.3"/>
    <row r="55" ht="14.4" x14ac:dyDescent="0.3"/>
    <row r="56" ht="14.4" x14ac:dyDescent="0.3"/>
    <row r="57" ht="14.4" x14ac:dyDescent="0.3"/>
    <row r="58" ht="14.4" x14ac:dyDescent="0.3"/>
    <row r="59" ht="14.4" x14ac:dyDescent="0.3"/>
    <row r="60" ht="14.4" x14ac:dyDescent="0.3"/>
    <row r="61" ht="14.4" x14ac:dyDescent="0.3"/>
    <row r="62" ht="14.4" x14ac:dyDescent="0.3"/>
    <row r="63" ht="14.4" x14ac:dyDescent="0.3"/>
    <row r="64" ht="14.4" x14ac:dyDescent="0.3"/>
    <row r="65" ht="14.4" x14ac:dyDescent="0.3"/>
    <row r="66" ht="14.4" x14ac:dyDescent="0.3"/>
  </sheetData>
  <mergeCells count="3">
    <mergeCell ref="B4:K4"/>
    <mergeCell ref="B21:D21"/>
    <mergeCell ref="E21:I21"/>
  </mergeCells>
  <pageMargins left="0.7" right="0.7" top="0.75" bottom="0.75" header="0.3" footer="0.3"/>
  <pageSetup paperSize="9" orientation="portrait" horizontalDpi="0" verticalDpi="0" r:id="rId1"/>
  <drawing r:id="rId2"/>
  <tableParts count="1">
    <tablePart r:id="rId3"/>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D840F8-6B73-4F62-9C0E-29FB77B2FE9B}">
  <dimension ref="B1:AT175"/>
  <sheetViews>
    <sheetView showGridLines="0" topLeftCell="A40" zoomScale="79" zoomScaleNormal="55" workbookViewId="0">
      <selection activeCell="B85" sqref="B85:P106"/>
    </sheetView>
  </sheetViews>
  <sheetFormatPr baseColWidth="10" defaultColWidth="9.109375" defaultRowHeight="15" customHeight="1" x14ac:dyDescent="0.3"/>
  <cols>
    <col min="1" max="1" width="5.109375" customWidth="1"/>
    <col min="2" max="2" width="5.44140625" customWidth="1"/>
    <col min="3" max="3" width="23.33203125" customWidth="1"/>
    <col min="4" max="4" width="30.88671875" bestFit="1" customWidth="1"/>
    <col min="5" max="5" width="13.33203125" bestFit="1" customWidth="1"/>
    <col min="6" max="13" width="17.109375" customWidth="1"/>
    <col min="14" max="14" width="14" bestFit="1" customWidth="1"/>
    <col min="15" max="15" width="12" customWidth="1"/>
    <col min="16" max="16" width="14.33203125" customWidth="1"/>
    <col min="17" max="29" width="14" customWidth="1"/>
    <col min="30" max="30" width="11.5546875" customWidth="1"/>
    <col min="31" max="31" width="12.44140625" customWidth="1"/>
    <col min="32" max="32" width="14" customWidth="1"/>
    <col min="33" max="36" width="9.109375" customWidth="1"/>
    <col min="37" max="37" width="13.33203125" customWidth="1"/>
    <col min="38" max="38" width="12.33203125" customWidth="1"/>
    <col min="39" max="40" width="14.33203125" customWidth="1"/>
    <col min="41" max="43" width="14.6640625" customWidth="1"/>
    <col min="44" max="45" width="15.109375" customWidth="1"/>
    <col min="46" max="46" width="13" customWidth="1"/>
    <col min="47" max="47" width="20.109375" customWidth="1"/>
    <col min="48" max="50" width="11.5546875" customWidth="1"/>
    <col min="51" max="51" width="13" customWidth="1"/>
    <col min="52" max="52" width="20.109375" customWidth="1"/>
    <col min="53" max="55" width="11.5546875" customWidth="1"/>
    <col min="56" max="56" width="16.109375" customWidth="1"/>
    <col min="57" max="57" width="20.109375" customWidth="1"/>
    <col min="58" max="58" width="9.109375" customWidth="1"/>
  </cols>
  <sheetData>
    <row r="1" spans="2:46" ht="14.4" x14ac:dyDescent="0.3"/>
    <row r="2" spans="2:46" ht="14.4" x14ac:dyDescent="0.3"/>
    <row r="3" spans="2:46" ht="14.4" x14ac:dyDescent="0.3"/>
    <row r="4" spans="2:46" ht="47.4" x14ac:dyDescent="0.9">
      <c r="B4" s="54" t="s">
        <v>45</v>
      </c>
      <c r="C4" s="54"/>
      <c r="D4" s="54"/>
      <c r="E4" s="54"/>
      <c r="F4" s="54"/>
      <c r="G4" s="54"/>
      <c r="H4" s="54"/>
      <c r="I4" s="54"/>
      <c r="J4" s="54"/>
      <c r="K4" s="54"/>
      <c r="L4" s="54"/>
      <c r="M4" s="54"/>
      <c r="N4" s="54"/>
      <c r="O4" s="54"/>
      <c r="P4" s="54"/>
      <c r="Q4" s="54"/>
      <c r="R4" s="54"/>
      <c r="S4" s="54"/>
      <c r="T4" s="54"/>
      <c r="U4" s="54"/>
      <c r="V4" s="54"/>
      <c r="W4" s="54"/>
      <c r="X4" s="54"/>
      <c r="Y4" s="54"/>
      <c r="Z4" s="54"/>
      <c r="AA4" s="54"/>
      <c r="AB4" s="54"/>
      <c r="AC4" s="54"/>
      <c r="AD4" s="54"/>
      <c r="AE4" s="54"/>
      <c r="AF4" s="54"/>
      <c r="AG4" s="54"/>
      <c r="AH4" s="54"/>
      <c r="AI4" s="54"/>
      <c r="AJ4" s="54"/>
      <c r="AK4" s="54"/>
      <c r="AL4" s="54"/>
      <c r="AM4" s="54"/>
      <c r="AN4" s="54"/>
      <c r="AO4" s="54"/>
      <c r="AP4" s="34"/>
      <c r="AQ4" s="34"/>
      <c r="AR4" s="34"/>
      <c r="AS4" s="34"/>
      <c r="AT4" s="34"/>
    </row>
    <row r="5" spans="2:46" ht="14.4" x14ac:dyDescent="0.3">
      <c r="B5" s="18" t="s">
        <v>1</v>
      </c>
    </row>
    <row r="6" spans="2:46" ht="14.4" x14ac:dyDescent="0.3">
      <c r="B6" s="18"/>
    </row>
    <row r="7" spans="2:46" ht="18" x14ac:dyDescent="0.35">
      <c r="B7" s="19" t="s">
        <v>2</v>
      </c>
      <c r="C7" s="19"/>
    </row>
    <row r="8" spans="2:46" ht="14.4" x14ac:dyDescent="0.3">
      <c r="B8" s="26" t="s">
        <v>46</v>
      </c>
      <c r="C8" s="20"/>
    </row>
    <row r="9" spans="2:46" ht="14.4" x14ac:dyDescent="0.3">
      <c r="B9" s="26" t="s">
        <v>47</v>
      </c>
      <c r="C9" s="20"/>
    </row>
    <row r="10" spans="2:46" ht="14.4" x14ac:dyDescent="0.3">
      <c r="B10" s="26" t="s">
        <v>48</v>
      </c>
      <c r="C10" s="20"/>
    </row>
    <row r="11" spans="2:46" ht="14.4" x14ac:dyDescent="0.3">
      <c r="B11" s="26" t="s">
        <v>49</v>
      </c>
      <c r="C11" s="20"/>
    </row>
    <row r="12" spans="2:46" ht="14.4" x14ac:dyDescent="0.3">
      <c r="B12" s="27" t="s">
        <v>50</v>
      </c>
      <c r="C12" s="21"/>
    </row>
    <row r="13" spans="2:46" ht="14.4" x14ac:dyDescent="0.3">
      <c r="B13" s="22"/>
      <c r="C13" s="22"/>
    </row>
    <row r="14" spans="2:46" ht="18" x14ac:dyDescent="0.35">
      <c r="B14" s="19" t="s">
        <v>51</v>
      </c>
      <c r="C14" s="19"/>
    </row>
    <row r="15" spans="2:46" ht="14.4" x14ac:dyDescent="0.3">
      <c r="B15" s="55" t="s">
        <v>52</v>
      </c>
      <c r="C15" s="55"/>
      <c r="D15" s="55"/>
      <c r="E15" s="55"/>
      <c r="F15" s="55"/>
      <c r="G15" s="55"/>
    </row>
    <row r="16" spans="2:46" ht="14.4" x14ac:dyDescent="0.3">
      <c r="B16" s="55"/>
      <c r="C16" s="55"/>
      <c r="D16" s="55"/>
      <c r="E16" s="55"/>
      <c r="F16" s="55"/>
      <c r="G16" s="55"/>
    </row>
    <row r="17" spans="2:7" ht="14.4" x14ac:dyDescent="0.3">
      <c r="B17" s="55"/>
      <c r="C17" s="55"/>
      <c r="D17" s="55"/>
      <c r="E17" s="55"/>
      <c r="F17" s="55"/>
      <c r="G17" s="55"/>
    </row>
    <row r="18" spans="2:7" ht="14.4" x14ac:dyDescent="0.3">
      <c r="B18" s="55"/>
      <c r="C18" s="55"/>
      <c r="D18" s="55"/>
      <c r="E18" s="55"/>
      <c r="F18" s="55"/>
      <c r="G18" s="55"/>
    </row>
    <row r="19" spans="2:7" ht="14.4" x14ac:dyDescent="0.3">
      <c r="B19" s="55"/>
      <c r="C19" s="55"/>
      <c r="D19" s="55"/>
      <c r="E19" s="55"/>
      <c r="F19" s="55"/>
      <c r="G19" s="55"/>
    </row>
    <row r="20" spans="2:7" ht="14.4" x14ac:dyDescent="0.3">
      <c r="B20" s="56" t="s">
        <v>53</v>
      </c>
      <c r="C20" s="56"/>
      <c r="D20" s="56"/>
      <c r="E20" s="56"/>
      <c r="F20" s="56"/>
      <c r="G20" s="56"/>
    </row>
    <row r="21" spans="2:7" ht="14.4" x14ac:dyDescent="0.3">
      <c r="B21" s="56"/>
      <c r="C21" s="56"/>
      <c r="D21" s="56"/>
      <c r="E21" s="56"/>
      <c r="F21" s="56"/>
      <c r="G21" s="56"/>
    </row>
    <row r="22" spans="2:7" ht="14.4" x14ac:dyDescent="0.3"/>
    <row r="23" spans="2:7" ht="14.4" x14ac:dyDescent="0.3"/>
    <row r="24" spans="2:7" ht="18" x14ac:dyDescent="0.35">
      <c r="B24" s="19" t="s">
        <v>54</v>
      </c>
      <c r="C24" s="19"/>
    </row>
    <row r="25" spans="2:7" ht="14.4" x14ac:dyDescent="0.3">
      <c r="B25" s="23" t="s">
        <v>55</v>
      </c>
      <c r="C25" s="24"/>
      <c r="D25" s="24"/>
      <c r="E25" s="24"/>
      <c r="F25" s="24"/>
      <c r="G25" s="24"/>
    </row>
    <row r="26" spans="2:7" ht="14.4" x14ac:dyDescent="0.3">
      <c r="B26" t="s">
        <v>56</v>
      </c>
    </row>
    <row r="27" spans="2:7" ht="14.4" x14ac:dyDescent="0.3">
      <c r="B27" s="57" t="s">
        <v>57</v>
      </c>
      <c r="C27" s="57"/>
      <c r="D27" s="57"/>
      <c r="E27" s="57"/>
      <c r="F27" s="57"/>
      <c r="G27" s="57"/>
    </row>
    <row r="28" spans="2:7" ht="14.4" x14ac:dyDescent="0.3">
      <c r="B28" s="57"/>
      <c r="C28" s="57"/>
      <c r="D28" s="57"/>
      <c r="E28" s="57"/>
      <c r="F28" s="57"/>
      <c r="G28" s="57"/>
    </row>
    <row r="29" spans="2:7" ht="14.4" x14ac:dyDescent="0.3">
      <c r="C29" s="11"/>
      <c r="D29" s="11"/>
      <c r="E29" s="11"/>
      <c r="F29" s="11"/>
      <c r="G29" s="11"/>
    </row>
    <row r="30" spans="2:7" ht="14.4" x14ac:dyDescent="0.3">
      <c r="B30" s="58" t="s">
        <v>58</v>
      </c>
      <c r="C30" s="58"/>
      <c r="D30" s="58"/>
      <c r="E30" s="58"/>
      <c r="F30" s="58"/>
      <c r="G30" s="58"/>
    </row>
    <row r="31" spans="2:7" ht="14.4" x14ac:dyDescent="0.3">
      <c r="B31" s="58"/>
      <c r="C31" s="58"/>
      <c r="D31" s="58"/>
      <c r="E31" s="58"/>
      <c r="F31" s="58"/>
      <c r="G31" s="58"/>
    </row>
    <row r="32" spans="2:7" ht="14.4" x14ac:dyDescent="0.3"/>
    <row r="33" spans="2:32" ht="14.4" x14ac:dyDescent="0.3">
      <c r="B33" s="12" t="s">
        <v>59</v>
      </c>
      <c r="C33" s="13"/>
    </row>
    <row r="34" spans="2:32" ht="14.4" x14ac:dyDescent="0.3">
      <c r="B34" s="14" t="s">
        <v>60</v>
      </c>
      <c r="C34" s="14"/>
    </row>
    <row r="35" spans="2:32" ht="14.4" x14ac:dyDescent="0.3"/>
    <row r="36" spans="2:32" ht="14.4" x14ac:dyDescent="0.3">
      <c r="B36" s="12" t="s">
        <v>61</v>
      </c>
      <c r="C36" s="13"/>
    </row>
    <row r="37" spans="2:32" ht="14.4" x14ac:dyDescent="0.3">
      <c r="B37" s="59" t="s">
        <v>62</v>
      </c>
      <c r="C37" s="59"/>
      <c r="D37" s="59"/>
      <c r="E37" s="59"/>
      <c r="F37" s="59"/>
      <c r="G37" s="59"/>
    </row>
    <row r="38" spans="2:32" ht="14.4" x14ac:dyDescent="0.3"/>
    <row r="39" spans="2:32" ht="14.4" x14ac:dyDescent="0.3">
      <c r="B39" s="12" t="s">
        <v>63</v>
      </c>
      <c r="C39" s="13"/>
    </row>
    <row r="40" spans="2:32" ht="14.4" x14ac:dyDescent="0.3">
      <c r="B40" s="59" t="s">
        <v>64</v>
      </c>
      <c r="C40" s="59"/>
      <c r="D40" s="59"/>
      <c r="E40" s="59"/>
      <c r="F40" s="59"/>
      <c r="G40" s="59"/>
    </row>
    <row r="41" spans="2:32" ht="14.4" x14ac:dyDescent="0.3">
      <c r="B41" s="59"/>
      <c r="C41" s="59"/>
      <c r="D41" s="59"/>
      <c r="E41" s="59"/>
      <c r="F41" s="59"/>
      <c r="G41" s="59"/>
    </row>
    <row r="42" spans="2:32" ht="14.4" x14ac:dyDescent="0.3"/>
    <row r="43" spans="2:32" ht="14.4" x14ac:dyDescent="0.3">
      <c r="AE43" s="35"/>
      <c r="AF43" s="35"/>
    </row>
    <row r="44" spans="2:32" ht="14.4" x14ac:dyDescent="0.3">
      <c r="AE44" s="35"/>
      <c r="AF44" s="35"/>
    </row>
    <row r="45" spans="2:32" s="28" customFormat="1" ht="27.6" x14ac:dyDescent="0.65">
      <c r="B45" s="29" t="s">
        <v>65</v>
      </c>
    </row>
    <row r="46" spans="2:32" ht="14.4" x14ac:dyDescent="0.3">
      <c r="AE46" s="35"/>
      <c r="AF46" s="35"/>
    </row>
    <row r="47" spans="2:32" ht="23.4" x14ac:dyDescent="0.45">
      <c r="B47" s="25" t="s">
        <v>69</v>
      </c>
      <c r="AE47" s="35"/>
      <c r="AF47" s="35"/>
    </row>
    <row r="49" spans="2:8" ht="15" customHeight="1" x14ac:dyDescent="0.3">
      <c r="B49" s="52" t="s">
        <v>9</v>
      </c>
      <c r="C49" s="1"/>
      <c r="D49" s="37"/>
    </row>
    <row r="50" spans="2:8" ht="15" customHeight="1" x14ac:dyDescent="0.3">
      <c r="B50" s="46"/>
      <c r="C50" s="65" t="s">
        <v>94</v>
      </c>
      <c r="D50" s="66"/>
    </row>
    <row r="51" spans="2:8" ht="15" customHeight="1" x14ac:dyDescent="0.3">
      <c r="B51" s="15"/>
      <c r="C51" s="65" t="s">
        <v>95</v>
      </c>
      <c r="D51" s="66"/>
    </row>
    <row r="52" spans="2:8" ht="15" customHeight="1" x14ac:dyDescent="0.3">
      <c r="B52" s="16"/>
      <c r="C52" s="65" t="s">
        <v>96</v>
      </c>
      <c r="D52" s="66"/>
    </row>
    <row r="54" spans="2:8" ht="15" customHeight="1" x14ac:dyDescent="0.3">
      <c r="B54" s="60" t="s">
        <v>97</v>
      </c>
      <c r="C54" s="61"/>
      <c r="D54" s="61"/>
      <c r="E54" s="53" t="s">
        <v>92</v>
      </c>
      <c r="F54" s="53"/>
      <c r="G54" s="53"/>
      <c r="H54" s="53"/>
    </row>
    <row r="55" spans="2:8" ht="15" customHeight="1" x14ac:dyDescent="0.3">
      <c r="B55" s="47" t="s">
        <v>11</v>
      </c>
      <c r="C55" s="47" t="s">
        <v>72</v>
      </c>
      <c r="D55" s="47" t="s">
        <v>71</v>
      </c>
      <c r="E55" s="51" t="s">
        <v>88</v>
      </c>
      <c r="F55" s="51" t="s">
        <v>89</v>
      </c>
      <c r="G55" s="51" t="s">
        <v>90</v>
      </c>
      <c r="H55" s="51" t="s">
        <v>91</v>
      </c>
    </row>
    <row r="56" spans="2:8" ht="15" customHeight="1" x14ac:dyDescent="0.3">
      <c r="B56">
        <v>1</v>
      </c>
      <c r="C56" s="36" t="s">
        <v>19</v>
      </c>
      <c r="D56" s="36" t="s">
        <v>20</v>
      </c>
      <c r="E56" s="2">
        <v>196363.85601577908</v>
      </c>
      <c r="F56" s="2">
        <v>168672.81695156696</v>
      </c>
      <c r="G56" s="2">
        <v>202407.38034188034</v>
      </c>
      <c r="H56" s="2">
        <v>291463.48739316239</v>
      </c>
    </row>
    <row r="57" spans="2:8" ht="15" customHeight="1" x14ac:dyDescent="0.3">
      <c r="B57">
        <v>2</v>
      </c>
      <c r="C57" s="36" t="s">
        <v>21</v>
      </c>
      <c r="D57" t="s">
        <v>22</v>
      </c>
      <c r="E57" s="2">
        <v>141843.80341880341</v>
      </c>
      <c r="F57" s="2">
        <v>140080.97057856675</v>
      </c>
      <c r="G57" s="2">
        <v>168097.16469428007</v>
      </c>
      <c r="H57" s="2">
        <v>243711.7393984221</v>
      </c>
    </row>
    <row r="58" spans="2:8" ht="15" customHeight="1" x14ac:dyDescent="0.3">
      <c r="B58">
        <v>3</v>
      </c>
      <c r="C58" s="36" t="s">
        <v>23</v>
      </c>
      <c r="D58" t="s">
        <v>24</v>
      </c>
      <c r="E58" s="2">
        <v>92775.756081525309</v>
      </c>
      <c r="F58" s="2">
        <v>99329.572649572641</v>
      </c>
      <c r="G58" s="2">
        <v>119195.48717948719</v>
      </c>
      <c r="H58" s="2">
        <v>171882.31025641024</v>
      </c>
    </row>
    <row r="59" spans="2:8" ht="15" customHeight="1" x14ac:dyDescent="0.3">
      <c r="B59">
        <v>4</v>
      </c>
      <c r="C59" s="36" t="s">
        <v>25</v>
      </c>
      <c r="D59" t="s">
        <v>26</v>
      </c>
      <c r="E59" s="2">
        <v>103679.76660092045</v>
      </c>
      <c r="F59" s="2">
        <v>102024.41056687851</v>
      </c>
      <c r="G59" s="2">
        <v>122429.29268025422</v>
      </c>
      <c r="H59" s="2">
        <v>174043.68658229234</v>
      </c>
    </row>
    <row r="60" spans="2:8" ht="15" customHeight="1" x14ac:dyDescent="0.3">
      <c r="B60">
        <v>5</v>
      </c>
      <c r="C60" s="36" t="s">
        <v>27</v>
      </c>
      <c r="D60" t="s">
        <v>28</v>
      </c>
      <c r="E60" s="2">
        <v>109131.77186061803</v>
      </c>
      <c r="F60" s="2">
        <v>107737.58172620351</v>
      </c>
      <c r="G60" s="2">
        <v>129285.09807144421</v>
      </c>
      <c r="H60" s="2">
        <v>186127.86278216087</v>
      </c>
    </row>
    <row r="61" spans="2:8" ht="15" customHeight="1" x14ac:dyDescent="0.3">
      <c r="B61">
        <v>6</v>
      </c>
      <c r="C61" t="s">
        <v>29</v>
      </c>
      <c r="D61" t="s">
        <v>30</v>
      </c>
      <c r="E61" s="2">
        <v>70967.735042735047</v>
      </c>
      <c r="F61" s="2">
        <v>44344.265194681859</v>
      </c>
      <c r="G61" s="2">
        <v>53213.118233618232</v>
      </c>
      <c r="H61" s="2">
        <v>77347.585968660962</v>
      </c>
    </row>
    <row r="62" spans="2:8" ht="15" customHeight="1" x14ac:dyDescent="0.3">
      <c r="B62">
        <v>7</v>
      </c>
      <c r="C62" t="s">
        <v>21</v>
      </c>
      <c r="D62" s="36" t="s">
        <v>70</v>
      </c>
      <c r="E62" s="2">
        <v>45888.510848126229</v>
      </c>
      <c r="F62" s="2">
        <v>32026.3845605961</v>
      </c>
      <c r="G62" s="2">
        <v>38431.661472715321</v>
      </c>
      <c r="H62" s="2">
        <v>56250.410693622624</v>
      </c>
    </row>
    <row r="63" spans="2:8" ht="15" customHeight="1" x14ac:dyDescent="0.3">
      <c r="B63">
        <v>8</v>
      </c>
      <c r="C63" t="s">
        <v>25</v>
      </c>
      <c r="D63" t="s">
        <v>32</v>
      </c>
      <c r="E63" s="2">
        <v>49159.71400394477</v>
      </c>
      <c r="F63" s="2">
        <v>56553.869986850761</v>
      </c>
      <c r="G63" s="2">
        <v>67864.643984220907</v>
      </c>
      <c r="H63" s="2">
        <v>98676.840581854049</v>
      </c>
    </row>
    <row r="64" spans="2:8" ht="15" customHeight="1" x14ac:dyDescent="0.3">
      <c r="B64">
        <v>9</v>
      </c>
      <c r="C64" t="s">
        <v>21</v>
      </c>
      <c r="D64" t="s">
        <v>33</v>
      </c>
      <c r="E64" s="2">
        <v>54611.71926364235</v>
      </c>
      <c r="F64" s="2">
        <v>45453.121575717727</v>
      </c>
      <c r="G64" s="2">
        <v>54543.745890861283</v>
      </c>
      <c r="H64" s="2">
        <v>79000.307774490459</v>
      </c>
    </row>
    <row r="65" spans="2:8" ht="15" customHeight="1" x14ac:dyDescent="0.3">
      <c r="B65">
        <v>10</v>
      </c>
      <c r="C65" t="s">
        <v>21</v>
      </c>
      <c r="D65" t="s">
        <v>34</v>
      </c>
      <c r="E65" s="2">
        <v>29532.495069033528</v>
      </c>
      <c r="F65" s="2">
        <v>23580.995562130178</v>
      </c>
      <c r="G65" s="2">
        <v>28297.194674556216</v>
      </c>
      <c r="H65" s="2">
        <v>40857.773875739644</v>
      </c>
    </row>
    <row r="66" spans="2:8" ht="15" customHeight="1" x14ac:dyDescent="0.3">
      <c r="B66">
        <v>11</v>
      </c>
      <c r="C66" t="s">
        <v>27</v>
      </c>
      <c r="D66" t="s">
        <v>35</v>
      </c>
      <c r="E66" s="2">
        <v>24080.489809335966</v>
      </c>
      <c r="F66" s="2">
        <v>16281.475838264299</v>
      </c>
      <c r="G66" s="2">
        <v>19537.771005917159</v>
      </c>
      <c r="H66" s="2">
        <v>28705.43665680473</v>
      </c>
    </row>
    <row r="67" spans="2:8" ht="15" customHeight="1" x14ac:dyDescent="0.3">
      <c r="B67">
        <v>12</v>
      </c>
      <c r="C67" t="s">
        <v>25</v>
      </c>
      <c r="D67" t="s">
        <v>36</v>
      </c>
      <c r="E67" s="2">
        <v>27351.692965154507</v>
      </c>
      <c r="F67" s="2">
        <v>24222.612590401055</v>
      </c>
      <c r="G67" s="2">
        <v>29067.135108481263</v>
      </c>
      <c r="H67" s="2">
        <v>41302.205374753452</v>
      </c>
    </row>
    <row r="68" spans="2:8" ht="15" customHeight="1" x14ac:dyDescent="0.3">
      <c r="B68">
        <v>13</v>
      </c>
      <c r="C68" t="s">
        <v>23</v>
      </c>
      <c r="D68" t="s">
        <v>37</v>
      </c>
      <c r="E68" s="2">
        <v>28442.094017094016</v>
      </c>
      <c r="F68" s="2">
        <v>30097.131291547954</v>
      </c>
      <c r="G68" s="2">
        <v>36116.557549857542</v>
      </c>
      <c r="H68" s="2">
        <v>52090.041182336165</v>
      </c>
    </row>
    <row r="69" spans="2:8" ht="15" customHeight="1" x14ac:dyDescent="0.3">
      <c r="B69">
        <v>14</v>
      </c>
      <c r="C69" t="s">
        <v>29</v>
      </c>
      <c r="D69" t="s">
        <v>38</v>
      </c>
      <c r="E69" s="2">
        <v>15357.281393819854</v>
      </c>
      <c r="F69" s="2">
        <v>10020.352783256631</v>
      </c>
      <c r="G69" s="2">
        <v>12024.423339907955</v>
      </c>
      <c r="H69" s="2">
        <v>17209.08684089415</v>
      </c>
    </row>
    <row r="70" spans="2:8" ht="15" customHeight="1" x14ac:dyDescent="0.3">
      <c r="B70">
        <v>15</v>
      </c>
      <c r="C70" t="s">
        <v>29</v>
      </c>
      <c r="D70" t="s">
        <v>39</v>
      </c>
      <c r="E70" s="2">
        <v>13176.479289940828</v>
      </c>
      <c r="F70" s="2">
        <v>12175.560979618671</v>
      </c>
      <c r="G70" s="2">
        <v>14610.673175542406</v>
      </c>
      <c r="H70" s="2">
        <v>20834.274151873768</v>
      </c>
    </row>
    <row r="71" spans="2:8" ht="15" customHeight="1" x14ac:dyDescent="0.3">
      <c r="B71">
        <v>16</v>
      </c>
      <c r="C71" t="s">
        <v>23</v>
      </c>
      <c r="D71" t="s">
        <v>40</v>
      </c>
      <c r="E71" s="2">
        <v>27351.692965154507</v>
      </c>
      <c r="F71" s="2">
        <v>28431.427149536128</v>
      </c>
      <c r="G71" s="2">
        <v>34117.712579443352</v>
      </c>
      <c r="H71" s="2">
        <v>49035.369466359865</v>
      </c>
    </row>
    <row r="72" spans="2:8" ht="15" customHeight="1" x14ac:dyDescent="0.3">
      <c r="B72">
        <v>17</v>
      </c>
      <c r="C72" t="s">
        <v>19</v>
      </c>
      <c r="D72" t="s">
        <v>41</v>
      </c>
      <c r="E72" s="2">
        <v>32803.698224852073</v>
      </c>
      <c r="F72" s="2">
        <v>25102.263039666886</v>
      </c>
      <c r="G72" s="2">
        <v>30122.71564760026</v>
      </c>
      <c r="H72" s="2">
        <v>42936.122994740297</v>
      </c>
    </row>
    <row r="73" spans="2:8" ht="15" customHeight="1" x14ac:dyDescent="0.3">
      <c r="B73">
        <v>18</v>
      </c>
      <c r="C73" t="s">
        <v>25</v>
      </c>
      <c r="D73" t="s">
        <v>42</v>
      </c>
      <c r="E73" s="2">
        <v>43707.708744247211</v>
      </c>
      <c r="F73" s="2">
        <v>40811.264975527796</v>
      </c>
      <c r="G73" s="2">
        <v>48973.517970633351</v>
      </c>
      <c r="H73" s="2">
        <v>70319.545666228354</v>
      </c>
    </row>
    <row r="74" spans="2:8" ht="15" customHeight="1" x14ac:dyDescent="0.3">
      <c r="B74">
        <v>19</v>
      </c>
      <c r="C74" t="s">
        <v>27</v>
      </c>
      <c r="D74" t="s">
        <v>43</v>
      </c>
      <c r="E74" s="2">
        <v>45888.510848126229</v>
      </c>
      <c r="F74" s="2">
        <v>36601.778161297392</v>
      </c>
      <c r="G74" s="2">
        <v>43922.133793556866</v>
      </c>
      <c r="H74" s="2">
        <v>63593.453862590402</v>
      </c>
    </row>
    <row r="75" spans="2:8" ht="15" customHeight="1" x14ac:dyDescent="0.3">
      <c r="B75">
        <v>20</v>
      </c>
      <c r="C75" t="s">
        <v>21</v>
      </c>
      <c r="D75" t="s">
        <v>44</v>
      </c>
      <c r="E75" s="2">
        <v>30622.896120973044</v>
      </c>
      <c r="F75" s="2">
        <v>18896.781813865146</v>
      </c>
      <c r="G75" s="2">
        <v>22676.138176638178</v>
      </c>
      <c r="H75" s="2">
        <v>32447.5589031339</v>
      </c>
    </row>
    <row r="78" spans="2:8" ht="23.4" x14ac:dyDescent="0.45">
      <c r="B78" s="25" t="s">
        <v>93</v>
      </c>
      <c r="C78" s="1"/>
      <c r="D78" s="1"/>
      <c r="E78" s="1"/>
      <c r="F78" s="1"/>
      <c r="G78" s="1"/>
    </row>
    <row r="79" spans="2:8" ht="14.4" x14ac:dyDescent="0.3">
      <c r="B79" s="18"/>
    </row>
    <row r="80" spans="2:8" ht="14.4" x14ac:dyDescent="0.3">
      <c r="B80" s="52" t="s">
        <v>9</v>
      </c>
      <c r="C80" s="1"/>
      <c r="D80" s="37"/>
      <c r="E80" s="37"/>
      <c r="F80" s="37"/>
    </row>
    <row r="81" spans="2:46" ht="14.4" x14ac:dyDescent="0.3">
      <c r="B81" s="46"/>
      <c r="C81" s="65" t="s">
        <v>94</v>
      </c>
      <c r="D81" s="66"/>
      <c r="E81" s="66"/>
      <c r="F81" s="66"/>
    </row>
    <row r="82" spans="2:46" ht="14.4" x14ac:dyDescent="0.3">
      <c r="B82" s="15"/>
      <c r="C82" s="65" t="s">
        <v>95</v>
      </c>
      <c r="D82" s="66"/>
      <c r="E82" s="66"/>
      <c r="F82" s="66"/>
    </row>
    <row r="83" spans="2:46" ht="14.4" x14ac:dyDescent="0.3">
      <c r="B83" s="16"/>
      <c r="C83" s="65" t="s">
        <v>96</v>
      </c>
      <c r="D83" s="66"/>
      <c r="E83" s="66"/>
      <c r="F83" s="66"/>
    </row>
    <row r="84" spans="2:46" ht="14.4" x14ac:dyDescent="0.3">
      <c r="AR84" s="3"/>
      <c r="AS84" s="3"/>
      <c r="AT84" s="3"/>
    </row>
    <row r="85" spans="2:46" ht="14.4" x14ac:dyDescent="0.3">
      <c r="B85" s="60" t="s">
        <v>97</v>
      </c>
      <c r="C85" s="61"/>
      <c r="D85" s="61"/>
      <c r="E85" s="63" t="s">
        <v>73</v>
      </c>
      <c r="F85" s="63"/>
      <c r="G85" s="63"/>
      <c r="H85" s="63"/>
      <c r="I85" s="62" t="s">
        <v>82</v>
      </c>
      <c r="J85" s="62"/>
      <c r="K85" s="62"/>
      <c r="L85" s="62"/>
      <c r="M85" s="64" t="s">
        <v>87</v>
      </c>
      <c r="N85" s="64"/>
      <c r="O85" s="64"/>
      <c r="P85" s="64"/>
      <c r="U85" s="31"/>
      <c r="V85" s="31"/>
      <c r="W85" s="31"/>
      <c r="X85" s="31"/>
      <c r="Y85" s="31"/>
      <c r="Z85" s="31"/>
      <c r="AA85" s="31"/>
      <c r="AB85" s="31"/>
      <c r="AC85" s="31"/>
    </row>
    <row r="86" spans="2:46" ht="24" x14ac:dyDescent="0.3">
      <c r="B86" s="47" t="s">
        <v>11</v>
      </c>
      <c r="C86" s="47" t="s">
        <v>72</v>
      </c>
      <c r="D86" s="47" t="s">
        <v>71</v>
      </c>
      <c r="E86" s="48" t="s">
        <v>74</v>
      </c>
      <c r="F86" s="48" t="s">
        <v>75</v>
      </c>
      <c r="G86" s="48" t="s">
        <v>76</v>
      </c>
      <c r="H86" s="48" t="s">
        <v>77</v>
      </c>
      <c r="I86" s="49" t="s">
        <v>78</v>
      </c>
      <c r="J86" s="49" t="s">
        <v>79</v>
      </c>
      <c r="K86" s="49" t="s">
        <v>80</v>
      </c>
      <c r="L86" s="49" t="s">
        <v>81</v>
      </c>
      <c r="M86" s="50" t="s">
        <v>83</v>
      </c>
      <c r="N86" s="50" t="s">
        <v>84</v>
      </c>
      <c r="O86" s="50" t="s">
        <v>85</v>
      </c>
      <c r="P86" s="50" t="s">
        <v>86</v>
      </c>
      <c r="U86" s="32"/>
      <c r="V86" s="32"/>
      <c r="W86" s="32"/>
      <c r="X86" s="32"/>
      <c r="Y86" s="32"/>
      <c r="Z86" s="32"/>
      <c r="AA86" s="32"/>
      <c r="AB86" s="32"/>
      <c r="AC86" s="32"/>
      <c r="AF86" s="33"/>
    </row>
    <row r="87" spans="2:46" ht="14.4" x14ac:dyDescent="0.3">
      <c r="B87">
        <v>1</v>
      </c>
      <c r="C87" s="36" t="s">
        <v>19</v>
      </c>
      <c r="D87" s="36" t="s">
        <v>20</v>
      </c>
      <c r="E87" s="2">
        <v>1677000</v>
      </c>
      <c r="F87" s="2">
        <v>112293.80341880342</v>
      </c>
      <c r="G87" s="2">
        <v>234780</v>
      </c>
      <c r="H87" s="2">
        <v>2024073.8034188035</v>
      </c>
      <c r="I87" s="17">
        <v>2012400</v>
      </c>
      <c r="J87" s="17">
        <v>134752.56410256409</v>
      </c>
      <c r="K87" s="2">
        <v>281736</v>
      </c>
      <c r="L87" s="2">
        <v>2428888.564102564</v>
      </c>
      <c r="M87" s="2">
        <v>3018600</v>
      </c>
      <c r="N87" s="2">
        <v>154965.44871794869</v>
      </c>
      <c r="O87" s="2">
        <v>323996.39999999997</v>
      </c>
      <c r="P87" s="2">
        <v>3497561.8487179484</v>
      </c>
      <c r="AF87" s="31"/>
    </row>
    <row r="88" spans="2:46" ht="14.4" x14ac:dyDescent="0.3">
      <c r="B88">
        <v>2</v>
      </c>
      <c r="C88" s="36" t="s">
        <v>21</v>
      </c>
      <c r="D88" t="s">
        <v>22</v>
      </c>
      <c r="E88" s="2">
        <v>1440000</v>
      </c>
      <c r="F88" s="2">
        <v>96971.646942800799</v>
      </c>
      <c r="G88" s="2">
        <v>144000</v>
      </c>
      <c r="H88" s="2">
        <v>1680971.6469428008</v>
      </c>
      <c r="I88" s="17">
        <v>1728000</v>
      </c>
      <c r="J88" s="17">
        <v>116365.97633136096</v>
      </c>
      <c r="K88" s="2">
        <v>172800</v>
      </c>
      <c r="L88" s="2">
        <v>2017165.9763313609</v>
      </c>
      <c r="M88" s="2">
        <v>2592000</v>
      </c>
      <c r="N88" s="2">
        <v>133820.87278106509</v>
      </c>
      <c r="O88" s="2">
        <v>198719.99999999997</v>
      </c>
      <c r="P88" s="2">
        <v>2924540.8727810653</v>
      </c>
      <c r="AF88" s="33"/>
    </row>
    <row r="89" spans="2:46" ht="14.4" x14ac:dyDescent="0.3">
      <c r="B89">
        <v>3</v>
      </c>
      <c r="C89" s="36" t="s">
        <v>23</v>
      </c>
      <c r="D89" t="s">
        <v>24</v>
      </c>
      <c r="E89" s="2">
        <v>994500</v>
      </c>
      <c r="F89" s="2">
        <v>68169.871794871797</v>
      </c>
      <c r="G89" s="2">
        <v>129285</v>
      </c>
      <c r="H89" s="2">
        <v>1191954.8717948718</v>
      </c>
      <c r="I89" s="17">
        <v>1193400</v>
      </c>
      <c r="J89" s="17">
        <v>81803.846153846156</v>
      </c>
      <c r="K89" s="17">
        <v>155142</v>
      </c>
      <c r="L89" s="2">
        <v>1430345.8461538462</v>
      </c>
      <c r="M89" s="2">
        <v>1790100</v>
      </c>
      <c r="N89" s="2">
        <v>94074.423076923078</v>
      </c>
      <c r="O89" s="2">
        <v>178413.3</v>
      </c>
      <c r="P89" s="2">
        <v>2062587.7230769231</v>
      </c>
    </row>
    <row r="90" spans="2:46" ht="14.4" x14ac:dyDescent="0.3">
      <c r="B90">
        <v>4</v>
      </c>
      <c r="C90" s="36" t="s">
        <v>25</v>
      </c>
      <c r="D90" t="s">
        <v>26</v>
      </c>
      <c r="E90" s="2">
        <v>950000</v>
      </c>
      <c r="F90" s="2">
        <v>65292.926802542184</v>
      </c>
      <c r="G90" s="2">
        <v>209000</v>
      </c>
      <c r="H90" s="2">
        <v>1224292.9268025421</v>
      </c>
      <c r="I90" s="17">
        <v>1140000</v>
      </c>
      <c r="J90" s="17">
        <v>78351.512163050618</v>
      </c>
      <c r="K90" s="2">
        <v>250800</v>
      </c>
      <c r="L90" s="2">
        <v>1469151.5121630507</v>
      </c>
      <c r="M90" s="2">
        <v>1710000</v>
      </c>
      <c r="N90" s="2">
        <v>90104.238987508201</v>
      </c>
      <c r="O90" s="2">
        <v>288420</v>
      </c>
      <c r="P90" s="2">
        <v>2088524.2389875082</v>
      </c>
    </row>
    <row r="91" spans="2:46" ht="14.4" x14ac:dyDescent="0.3">
      <c r="B91">
        <v>5</v>
      </c>
      <c r="C91" s="36" t="s">
        <v>27</v>
      </c>
      <c r="D91" t="s">
        <v>28</v>
      </c>
      <c r="E91" s="2">
        <v>1070000</v>
      </c>
      <c r="F91" s="2">
        <v>73050.980714442252</v>
      </c>
      <c r="G91" s="2">
        <v>149800.00000000003</v>
      </c>
      <c r="H91" s="2">
        <v>1292850.9807144422</v>
      </c>
      <c r="I91" s="17">
        <v>1284000</v>
      </c>
      <c r="J91" s="17">
        <v>87661.176857330705</v>
      </c>
      <c r="K91" s="2">
        <v>179760.00000000003</v>
      </c>
      <c r="L91" s="2">
        <v>1551421.1768573306</v>
      </c>
      <c r="M91" s="2">
        <v>1926000</v>
      </c>
      <c r="N91" s="2">
        <v>100810.3533859303</v>
      </c>
      <c r="O91" s="2">
        <v>206724.00000000003</v>
      </c>
      <c r="P91" s="2">
        <v>2233534.3533859304</v>
      </c>
    </row>
    <row r="92" spans="2:46" ht="14.4" x14ac:dyDescent="0.3">
      <c r="B92">
        <v>6</v>
      </c>
      <c r="C92" t="s">
        <v>29</v>
      </c>
      <c r="D92" t="s">
        <v>30</v>
      </c>
      <c r="E92" s="2">
        <v>461500</v>
      </c>
      <c r="F92" s="2">
        <v>33711.182336182341</v>
      </c>
      <c r="G92" s="2">
        <v>36920</v>
      </c>
      <c r="H92" s="2">
        <v>532131.18233618233</v>
      </c>
      <c r="I92" s="17">
        <v>553800</v>
      </c>
      <c r="J92" s="17">
        <v>40453.418803418805</v>
      </c>
      <c r="K92" s="17">
        <v>44304</v>
      </c>
      <c r="L92" s="2">
        <v>638557.41880341875</v>
      </c>
      <c r="M92" s="2">
        <v>830700</v>
      </c>
      <c r="N92" s="2">
        <v>46521.431623931625</v>
      </c>
      <c r="O92" s="2">
        <v>50949.599999999999</v>
      </c>
      <c r="P92" s="2">
        <v>928171.0316239316</v>
      </c>
    </row>
    <row r="93" spans="2:46" ht="14.4" x14ac:dyDescent="0.3">
      <c r="B93">
        <v>7</v>
      </c>
      <c r="C93" t="s">
        <v>21</v>
      </c>
      <c r="D93" s="36" t="s">
        <v>70</v>
      </c>
      <c r="E93" s="2">
        <v>344400</v>
      </c>
      <c r="F93" s="2">
        <v>26140.614727153188</v>
      </c>
      <c r="G93" s="2">
        <v>13776.000000000002</v>
      </c>
      <c r="H93" s="2">
        <v>384316.61472715321</v>
      </c>
      <c r="I93" s="17">
        <v>413280</v>
      </c>
      <c r="J93" s="17">
        <v>31368.737672583826</v>
      </c>
      <c r="K93" s="2">
        <v>16531.2</v>
      </c>
      <c r="L93" s="2">
        <v>461179.93767258385</v>
      </c>
      <c r="M93" s="2">
        <v>619920</v>
      </c>
      <c r="N93" s="2">
        <v>36074.048323471397</v>
      </c>
      <c r="O93" s="2">
        <v>19010.88</v>
      </c>
      <c r="P93" s="2">
        <v>675004.92832347145</v>
      </c>
    </row>
    <row r="94" spans="2:46" ht="14.4" x14ac:dyDescent="0.3">
      <c r="B94">
        <v>8</v>
      </c>
      <c r="C94" t="s">
        <v>25</v>
      </c>
      <c r="D94" t="s">
        <v>32</v>
      </c>
      <c r="E94" s="2">
        <v>589500</v>
      </c>
      <c r="F94" s="2">
        <v>41986.439842209067</v>
      </c>
      <c r="G94" s="2">
        <v>47160</v>
      </c>
      <c r="H94" s="2">
        <v>678646.4398422091</v>
      </c>
      <c r="I94" s="17">
        <v>707400</v>
      </c>
      <c r="J94" s="17">
        <v>50383.727810650882</v>
      </c>
      <c r="K94" s="2">
        <v>56592</v>
      </c>
      <c r="L94" s="2">
        <v>814375.72781065083</v>
      </c>
      <c r="M94" s="2">
        <v>1061100</v>
      </c>
      <c r="N94" s="2">
        <v>57941.286982248508</v>
      </c>
      <c r="O94" s="2">
        <v>65080.799999999996</v>
      </c>
      <c r="P94" s="2">
        <v>1184122.0869822486</v>
      </c>
    </row>
    <row r="95" spans="2:46" ht="14.4" x14ac:dyDescent="0.3">
      <c r="B95">
        <v>9</v>
      </c>
      <c r="C95" t="s">
        <v>21</v>
      </c>
      <c r="D95" t="s">
        <v>33</v>
      </c>
      <c r="E95" s="2">
        <v>465000</v>
      </c>
      <c r="F95" s="2">
        <v>33937.458908612753</v>
      </c>
      <c r="G95" s="2">
        <v>46500</v>
      </c>
      <c r="H95" s="2">
        <v>545437.45890861272</v>
      </c>
      <c r="I95" s="17">
        <v>558000</v>
      </c>
      <c r="J95" s="17">
        <v>40724.950690335303</v>
      </c>
      <c r="K95" s="17">
        <v>55800</v>
      </c>
      <c r="L95" s="2">
        <v>654524.95069033536</v>
      </c>
      <c r="M95" s="2">
        <v>837000</v>
      </c>
      <c r="N95" s="2">
        <v>46833.693293885597</v>
      </c>
      <c r="O95" s="2">
        <v>64169.999999999993</v>
      </c>
      <c r="P95" s="2">
        <v>948003.69329388556</v>
      </c>
    </row>
    <row r="96" spans="2:46" ht="14.4" x14ac:dyDescent="0.3">
      <c r="B96">
        <v>10</v>
      </c>
      <c r="C96" t="s">
        <v>21</v>
      </c>
      <c r="D96" t="s">
        <v>34</v>
      </c>
      <c r="E96" s="2">
        <v>237600</v>
      </c>
      <c r="F96" s="2">
        <v>19235.946745562131</v>
      </c>
      <c r="G96" s="2">
        <v>26136</v>
      </c>
      <c r="H96" s="2">
        <v>282971.94674556213</v>
      </c>
      <c r="I96" s="17">
        <v>285120</v>
      </c>
      <c r="J96" s="17">
        <v>23083.136094674555</v>
      </c>
      <c r="K96" s="17">
        <v>31363.200000000001</v>
      </c>
      <c r="L96" s="2">
        <v>339566.3360946746</v>
      </c>
      <c r="M96" s="2">
        <v>427680</v>
      </c>
      <c r="N96" s="2">
        <v>26545.606508875735</v>
      </c>
      <c r="O96" s="2">
        <v>36067.68</v>
      </c>
      <c r="P96" s="2">
        <v>490293.28650887572</v>
      </c>
    </row>
    <row r="97" spans="2:16" ht="14.4" x14ac:dyDescent="0.3">
      <c r="B97">
        <v>11</v>
      </c>
      <c r="C97" t="s">
        <v>27</v>
      </c>
      <c r="D97" t="s">
        <v>35</v>
      </c>
      <c r="E97" s="2">
        <v>178200</v>
      </c>
      <c r="F97" s="2">
        <v>15395.710059171597</v>
      </c>
      <c r="G97" s="2">
        <v>1782.0000000000002</v>
      </c>
      <c r="H97" s="2">
        <v>195377.7100591716</v>
      </c>
      <c r="I97" s="17">
        <v>213840</v>
      </c>
      <c r="J97" s="17">
        <v>18474.852071005917</v>
      </c>
      <c r="K97" s="17">
        <v>2138.4</v>
      </c>
      <c r="L97" s="2">
        <v>234453.2520710059</v>
      </c>
      <c r="M97" s="2">
        <v>320760</v>
      </c>
      <c r="N97" s="2">
        <v>21246.079881656802</v>
      </c>
      <c r="O97" s="2">
        <v>2459.16</v>
      </c>
      <c r="P97" s="2">
        <v>344465.23988165677</v>
      </c>
    </row>
    <row r="98" spans="2:16" ht="14.4" x14ac:dyDescent="0.3">
      <c r="B98">
        <v>12</v>
      </c>
      <c r="C98" t="s">
        <v>25</v>
      </c>
      <c r="D98" t="s">
        <v>36</v>
      </c>
      <c r="E98" s="2">
        <v>225000</v>
      </c>
      <c r="F98" s="2">
        <v>18421.351084812624</v>
      </c>
      <c r="G98" s="2">
        <v>47250</v>
      </c>
      <c r="H98" s="2">
        <v>290671.35108481266</v>
      </c>
      <c r="I98" s="17">
        <v>270000</v>
      </c>
      <c r="J98" s="17">
        <v>22105.621301775147</v>
      </c>
      <c r="K98" s="17">
        <v>56700</v>
      </c>
      <c r="L98" s="2">
        <v>348805.62130177516</v>
      </c>
      <c r="M98" s="2">
        <v>405000</v>
      </c>
      <c r="N98" s="2">
        <v>25421.464497041416</v>
      </c>
      <c r="O98" s="2">
        <v>65204.999999999993</v>
      </c>
      <c r="P98" s="2">
        <v>495626.46449704142</v>
      </c>
    </row>
    <row r="99" spans="2:16" ht="14.4" x14ac:dyDescent="0.3">
      <c r="B99">
        <v>13</v>
      </c>
      <c r="C99" t="s">
        <v>23</v>
      </c>
      <c r="D99" t="s">
        <v>37</v>
      </c>
      <c r="E99" s="2">
        <v>301599.99999999994</v>
      </c>
      <c r="F99" s="2">
        <v>23373.575498575497</v>
      </c>
      <c r="G99" s="2">
        <v>36192</v>
      </c>
      <c r="H99" s="2">
        <v>361165.57549857546</v>
      </c>
      <c r="I99" s="17">
        <v>361919.99999999994</v>
      </c>
      <c r="J99" s="17">
        <v>28048.290598290594</v>
      </c>
      <c r="K99" s="17">
        <v>43430.399999999994</v>
      </c>
      <c r="L99" s="2">
        <v>433398.69059829053</v>
      </c>
      <c r="M99" s="2">
        <v>542879.99999999988</v>
      </c>
      <c r="N99" s="2">
        <v>32255.53418803418</v>
      </c>
      <c r="O99" s="2">
        <v>49944.959999999992</v>
      </c>
      <c r="P99" s="2">
        <v>625080.49418803398</v>
      </c>
    </row>
    <row r="100" spans="2:16" ht="14.4" x14ac:dyDescent="0.3">
      <c r="B100">
        <v>14</v>
      </c>
      <c r="C100" t="s">
        <v>29</v>
      </c>
      <c r="D100" t="s">
        <v>38</v>
      </c>
      <c r="E100" s="2">
        <v>96600</v>
      </c>
      <c r="F100" s="2">
        <v>10120.233399079552</v>
      </c>
      <c r="G100" s="2">
        <v>13524.000000000002</v>
      </c>
      <c r="H100" s="2">
        <v>120244.23339907956</v>
      </c>
      <c r="I100" s="17">
        <v>115920</v>
      </c>
      <c r="J100" s="17">
        <v>12144.280078895463</v>
      </c>
      <c r="K100" s="2">
        <v>16228.800000000001</v>
      </c>
      <c r="L100" s="2">
        <v>144293.08007889547</v>
      </c>
      <c r="M100" s="2">
        <v>173880</v>
      </c>
      <c r="N100" s="2">
        <v>13965.92209072978</v>
      </c>
      <c r="O100" s="2">
        <v>18663.12</v>
      </c>
      <c r="P100" s="2">
        <v>206509.04209072978</v>
      </c>
    </row>
    <row r="101" spans="2:16" ht="14.4" x14ac:dyDescent="0.3">
      <c r="B101">
        <v>15</v>
      </c>
      <c r="C101" t="s">
        <v>29</v>
      </c>
      <c r="D101" t="s">
        <v>39</v>
      </c>
      <c r="E101" s="2">
        <v>115200</v>
      </c>
      <c r="F101" s="2">
        <v>11322.731755424064</v>
      </c>
      <c r="G101" s="2">
        <v>19584.000000000004</v>
      </c>
      <c r="H101" s="2">
        <v>146106.73175542406</v>
      </c>
      <c r="I101" s="17">
        <v>138240</v>
      </c>
      <c r="J101" s="17">
        <v>13587.278106508875</v>
      </c>
      <c r="K101" s="17">
        <v>23500.800000000003</v>
      </c>
      <c r="L101" s="2">
        <v>175328.07810650888</v>
      </c>
      <c r="M101" s="2">
        <v>207360</v>
      </c>
      <c r="N101" s="2">
        <v>15625.369822485205</v>
      </c>
      <c r="O101" s="2">
        <v>27025.920000000002</v>
      </c>
      <c r="P101" s="2">
        <v>250011.28982248521</v>
      </c>
    </row>
    <row r="102" spans="2:16" ht="14.4" x14ac:dyDescent="0.3">
      <c r="B102">
        <v>16</v>
      </c>
      <c r="C102" t="s">
        <v>23</v>
      </c>
      <c r="D102" t="s">
        <v>40</v>
      </c>
      <c r="E102" s="2">
        <v>280000.00000000006</v>
      </c>
      <c r="F102" s="2">
        <v>21977.12579443349</v>
      </c>
      <c r="G102" s="2">
        <v>39200.000000000015</v>
      </c>
      <c r="H102" s="2">
        <v>341177.12579443352</v>
      </c>
      <c r="I102" s="17">
        <v>336000.00000000006</v>
      </c>
      <c r="J102" s="17">
        <v>26372.550953320188</v>
      </c>
      <c r="K102" s="17">
        <v>47040.000000000015</v>
      </c>
      <c r="L102" s="2">
        <v>409412.55095332023</v>
      </c>
      <c r="M102" s="2">
        <v>504000.00000000012</v>
      </c>
      <c r="N102" s="2">
        <v>30328.433596318213</v>
      </c>
      <c r="O102" s="2">
        <v>54096.000000000015</v>
      </c>
      <c r="P102" s="2">
        <v>588424.43359631835</v>
      </c>
    </row>
    <row r="103" spans="2:16" ht="14.4" x14ac:dyDescent="0.3">
      <c r="B103">
        <v>17</v>
      </c>
      <c r="C103" t="s">
        <v>19</v>
      </c>
      <c r="D103" t="s">
        <v>41</v>
      </c>
      <c r="E103" s="2">
        <v>237000</v>
      </c>
      <c r="F103" s="2">
        <v>19197.15647600263</v>
      </c>
      <c r="G103" s="2">
        <v>45030</v>
      </c>
      <c r="H103" s="2">
        <v>301227.15647600265</v>
      </c>
      <c r="I103" s="17">
        <v>284400</v>
      </c>
      <c r="J103" s="17">
        <v>23036.587771203154</v>
      </c>
      <c r="K103" s="2">
        <v>54036</v>
      </c>
      <c r="L103" s="2">
        <v>361472.58777120314</v>
      </c>
      <c r="M103" s="2">
        <v>426600</v>
      </c>
      <c r="N103" s="2">
        <v>26492.075936883626</v>
      </c>
      <c r="O103" s="2">
        <v>62141.399999999994</v>
      </c>
      <c r="P103" s="2">
        <v>515233.47593688359</v>
      </c>
    </row>
    <row r="104" spans="2:16" ht="14.4" x14ac:dyDescent="0.3">
      <c r="B104">
        <v>18</v>
      </c>
      <c r="C104" t="s">
        <v>25</v>
      </c>
      <c r="D104" t="s">
        <v>42</v>
      </c>
      <c r="E104" s="2">
        <v>400000</v>
      </c>
      <c r="F104" s="2">
        <v>29735.179706333554</v>
      </c>
      <c r="G104" s="2">
        <v>60000</v>
      </c>
      <c r="H104" s="2">
        <v>489735.17970633355</v>
      </c>
      <c r="I104" s="17">
        <v>480000</v>
      </c>
      <c r="J104" s="17">
        <v>35682.215647600264</v>
      </c>
      <c r="K104" s="17">
        <v>72000</v>
      </c>
      <c r="L104" s="2">
        <v>587682.21564760024</v>
      </c>
      <c r="M104" s="2">
        <v>720000</v>
      </c>
      <c r="N104" s="2">
        <v>41034.5479947403</v>
      </c>
      <c r="O104" s="2">
        <v>82800</v>
      </c>
      <c r="P104" s="2">
        <v>843834.54799474031</v>
      </c>
    </row>
    <row r="105" spans="2:16" ht="14.4" x14ac:dyDescent="0.3">
      <c r="B105">
        <v>19</v>
      </c>
      <c r="C105" t="s">
        <v>27</v>
      </c>
      <c r="D105" t="s">
        <v>43</v>
      </c>
      <c r="E105" s="2">
        <v>373800</v>
      </c>
      <c r="F105" s="2">
        <v>28041.337935568699</v>
      </c>
      <c r="G105" s="2">
        <v>37380</v>
      </c>
      <c r="H105" s="2">
        <v>439221.33793556871</v>
      </c>
      <c r="I105" s="17">
        <v>448560</v>
      </c>
      <c r="J105" s="17">
        <v>33649.605522682439</v>
      </c>
      <c r="K105" s="17">
        <v>44856</v>
      </c>
      <c r="L105" s="2">
        <v>527065.60552268242</v>
      </c>
      <c r="M105" s="2">
        <v>672840</v>
      </c>
      <c r="N105" s="2">
        <v>38697.046351084799</v>
      </c>
      <c r="O105" s="2">
        <v>51584.399999999994</v>
      </c>
      <c r="P105" s="2">
        <v>763121.44635108486</v>
      </c>
    </row>
    <row r="106" spans="2:16" ht="14.4" x14ac:dyDescent="0.3">
      <c r="B106">
        <v>20</v>
      </c>
      <c r="C106" t="s">
        <v>21</v>
      </c>
      <c r="D106" t="s">
        <v>44</v>
      </c>
      <c r="E106" s="2">
        <v>182000</v>
      </c>
      <c r="F106" s="2">
        <v>15641.381766381764</v>
      </c>
      <c r="G106" s="2">
        <v>29120</v>
      </c>
      <c r="H106" s="2">
        <v>226761.38176638176</v>
      </c>
      <c r="I106" s="17">
        <v>218400</v>
      </c>
      <c r="J106" s="17">
        <v>18769.658119658117</v>
      </c>
      <c r="K106" s="17">
        <v>34944</v>
      </c>
      <c r="L106" s="2">
        <v>272113.65811965812</v>
      </c>
      <c r="M106" s="2">
        <v>327600</v>
      </c>
      <c r="N106" s="2">
        <v>21585.106837606832</v>
      </c>
      <c r="O106" s="2">
        <v>40185.599999999999</v>
      </c>
      <c r="P106" s="2">
        <v>389370.70683760679</v>
      </c>
    </row>
    <row r="107" spans="2:16" ht="14.4" x14ac:dyDescent="0.3"/>
    <row r="108" spans="2:16" ht="14.4" x14ac:dyDescent="0.3"/>
    <row r="109" spans="2:16" ht="14.4" x14ac:dyDescent="0.3"/>
    <row r="110" spans="2:16" ht="14.4" x14ac:dyDescent="0.3"/>
    <row r="111" spans="2:16" ht="14.4" x14ac:dyDescent="0.3"/>
    <row r="112" spans="2:16" ht="14.4" x14ac:dyDescent="0.3"/>
    <row r="113" ht="14.4" x14ac:dyDescent="0.3"/>
    <row r="114" ht="14.4" x14ac:dyDescent="0.3"/>
    <row r="115" ht="14.4" x14ac:dyDescent="0.3"/>
    <row r="116" ht="14.4" x14ac:dyDescent="0.3"/>
    <row r="117" ht="14.4" x14ac:dyDescent="0.3"/>
    <row r="118" ht="14.4" x14ac:dyDescent="0.3"/>
    <row r="119" ht="14.4" x14ac:dyDescent="0.3"/>
    <row r="120" ht="14.4" x14ac:dyDescent="0.3"/>
    <row r="121" ht="14.4" x14ac:dyDescent="0.3"/>
    <row r="122" ht="14.4" x14ac:dyDescent="0.3"/>
    <row r="123" ht="14.4" x14ac:dyDescent="0.3"/>
    <row r="124" ht="14.4" x14ac:dyDescent="0.3"/>
    <row r="125" ht="14.4" x14ac:dyDescent="0.3"/>
    <row r="126" ht="14.4" x14ac:dyDescent="0.3"/>
    <row r="127" ht="14.4" x14ac:dyDescent="0.3"/>
    <row r="128" ht="14.4" x14ac:dyDescent="0.3"/>
    <row r="129" ht="14.4" x14ac:dyDescent="0.3"/>
    <row r="130" ht="14.4" x14ac:dyDescent="0.3"/>
    <row r="131" ht="14.4" x14ac:dyDescent="0.3"/>
    <row r="132" ht="14.4" x14ac:dyDescent="0.3"/>
    <row r="133" ht="14.4" x14ac:dyDescent="0.3"/>
    <row r="134" ht="14.4" x14ac:dyDescent="0.3"/>
    <row r="135" ht="14.4" x14ac:dyDescent="0.3"/>
    <row r="136" ht="14.4" x14ac:dyDescent="0.3"/>
    <row r="137" ht="14.4" x14ac:dyDescent="0.3"/>
    <row r="138" ht="14.4" x14ac:dyDescent="0.3"/>
    <row r="139" ht="14.4" x14ac:dyDescent="0.3"/>
    <row r="140" ht="14.4" x14ac:dyDescent="0.3"/>
    <row r="141" ht="14.4" x14ac:dyDescent="0.3"/>
    <row r="142" ht="14.4" x14ac:dyDescent="0.3"/>
    <row r="143" ht="14.4" x14ac:dyDescent="0.3"/>
    <row r="144" ht="14.4" x14ac:dyDescent="0.3"/>
    <row r="145" ht="14.4" x14ac:dyDescent="0.3"/>
    <row r="146" ht="14.4" x14ac:dyDescent="0.3"/>
    <row r="147" ht="14.4" x14ac:dyDescent="0.3"/>
    <row r="148" ht="14.4" x14ac:dyDescent="0.3"/>
    <row r="149" ht="14.4" x14ac:dyDescent="0.3"/>
    <row r="150" ht="14.4" x14ac:dyDescent="0.3"/>
    <row r="151" ht="14.4" x14ac:dyDescent="0.3"/>
    <row r="152" ht="14.4" x14ac:dyDescent="0.3"/>
    <row r="153" ht="14.4" x14ac:dyDescent="0.3"/>
    <row r="154" ht="14.4" x14ac:dyDescent="0.3"/>
    <row r="155" ht="14.4" x14ac:dyDescent="0.3"/>
    <row r="156" ht="14.4" x14ac:dyDescent="0.3"/>
    <row r="157" ht="14.4" x14ac:dyDescent="0.3"/>
    <row r="158" ht="14.4" x14ac:dyDescent="0.3"/>
    <row r="159" ht="14.4" x14ac:dyDescent="0.3"/>
    <row r="160" ht="14.4" x14ac:dyDescent="0.3"/>
    <row r="161" ht="14.4" x14ac:dyDescent="0.3"/>
    <row r="162" ht="14.4" x14ac:dyDescent="0.3"/>
    <row r="163" ht="14.4" x14ac:dyDescent="0.3"/>
    <row r="164" ht="14.4" x14ac:dyDescent="0.3"/>
    <row r="165" ht="14.4" x14ac:dyDescent="0.3"/>
    <row r="166" ht="14.4" x14ac:dyDescent="0.3"/>
    <row r="167" ht="14.4" x14ac:dyDescent="0.3"/>
    <row r="168" ht="14.4" x14ac:dyDescent="0.3"/>
    <row r="169" ht="14.4" x14ac:dyDescent="0.3"/>
    <row r="170" ht="14.4" x14ac:dyDescent="0.3"/>
    <row r="171" ht="14.4" x14ac:dyDescent="0.3"/>
    <row r="172" ht="14.4" x14ac:dyDescent="0.3"/>
    <row r="173" ht="14.4" x14ac:dyDescent="0.3"/>
    <row r="174" ht="14.4" x14ac:dyDescent="0.3"/>
    <row r="175" ht="14.4" x14ac:dyDescent="0.3"/>
  </sheetData>
  <mergeCells count="19">
    <mergeCell ref="B85:D85"/>
    <mergeCell ref="E85:H85"/>
    <mergeCell ref="M85:P85"/>
    <mergeCell ref="I85:L85"/>
    <mergeCell ref="C81:F81"/>
    <mergeCell ref="C82:F82"/>
    <mergeCell ref="B40:G41"/>
    <mergeCell ref="C50:D50"/>
    <mergeCell ref="C51:D51"/>
    <mergeCell ref="C52:D52"/>
    <mergeCell ref="E54:H54"/>
    <mergeCell ref="B54:D54"/>
    <mergeCell ref="B4:AO4"/>
    <mergeCell ref="B15:G19"/>
    <mergeCell ref="B20:G21"/>
    <mergeCell ref="B27:G28"/>
    <mergeCell ref="B30:G31"/>
    <mergeCell ref="B37:G37"/>
    <mergeCell ref="C83:F83"/>
  </mergeCells>
  <phoneticPr fontId="25" type="noConversion"/>
  <pageMargins left="0.7" right="0.7" top="0.75" bottom="0.75" header="0.3" footer="0.3"/>
  <drawing r:id="rId1"/>
  <tableParts count="2">
    <tablePart r:id="rId2"/>
    <tablePart r:id="rId3"/>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2</vt:i4>
      </vt:variant>
    </vt:vector>
  </HeadingPairs>
  <TitlesOfParts>
    <vt:vector size="2" baseType="lpstr">
      <vt:lpstr>COMPETITIVIDAD</vt:lpstr>
      <vt:lpstr>COMPENSACIÓN TOTAL</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Rogelio López</dc:creator>
  <cp:keywords/>
  <dc:description/>
  <cp:lastModifiedBy>Rogelio López</cp:lastModifiedBy>
  <cp:revision/>
  <dcterms:created xsi:type="dcterms:W3CDTF">2024-07-16T15:08:00Z</dcterms:created>
  <dcterms:modified xsi:type="dcterms:W3CDTF">2026-03-24T14:56:15Z</dcterms:modified>
  <cp:category/>
  <cp:contentStatus/>
</cp:coreProperties>
</file>